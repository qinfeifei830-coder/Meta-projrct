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beckett-my.sharepoint.com/personal/j_e_beech_leedsbeckett_ac_uk/Documents/PhD/01_Projects/05_Injury review/05 Data extraction/02 Data/for_analysis/"/>
    </mc:Choice>
  </mc:AlternateContent>
  <xr:revisionPtr revIDLastSave="1158" documentId="8_{0679E993-13D3-421F-8FCA-FE86D351BE65}" xr6:coauthVersionLast="47" xr6:coauthVersionMax="47" xr10:uidLastSave="{89F34826-A9A0-4043-8BC0-0404A8CFC179}"/>
  <bookViews>
    <workbookView xWindow="-108" yWindow="-108" windowWidth="23256" windowHeight="12576" activeTab="5" xr2:uid="{04C90CAE-55E8-4A56-AC65-7D1A15A6FCE6}"/>
  </bookViews>
  <sheets>
    <sheet name="Injury Location" sheetId="1" r:id="rId1"/>
    <sheet name="Injury Type" sheetId="2" r:id="rId2"/>
    <sheet name="Severity Time Bins" sheetId="3" r:id="rId3"/>
    <sheet name="Injury Onset" sheetId="4" r:id="rId4"/>
    <sheet name="Injury Mechanism" sheetId="5" r:id="rId5"/>
    <sheet name="Injury Prevelanc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4" l="1"/>
  <c r="G28" i="4"/>
  <c r="G29" i="4"/>
  <c r="G30" i="4"/>
  <c r="G31" i="4"/>
  <c r="G32" i="4"/>
  <c r="G33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" i="5"/>
  <c r="F3" i="7"/>
  <c r="F4" i="7"/>
  <c r="F5" i="7"/>
  <c r="F6" i="7"/>
  <c r="F7" i="7"/>
  <c r="F8" i="7"/>
  <c r="F9" i="7"/>
  <c r="F10" i="7"/>
  <c r="F11" i="7"/>
  <c r="F12" i="7"/>
  <c r="F13" i="7"/>
  <c r="F14" i="7"/>
  <c r="F2" i="7"/>
</calcChain>
</file>

<file path=xl/sharedStrings.xml><?xml version="1.0" encoding="utf-8"?>
<sst xmlns="http://schemas.openxmlformats.org/spreadsheetml/2006/main" count="1793" uniqueCount="218">
  <si>
    <t>reference</t>
  </si>
  <si>
    <t>Barden et al., 2021</t>
  </si>
  <si>
    <t>soccer</t>
  </si>
  <si>
    <t>rugby union</t>
  </si>
  <si>
    <t>Le Gall et a., 2008</t>
  </si>
  <si>
    <t>Soligard et al. 2008</t>
  </si>
  <si>
    <t>Wedderkopp et al., 1999</t>
  </si>
  <si>
    <t>handball</t>
  </si>
  <si>
    <t>Collins et al., 2008</t>
  </si>
  <si>
    <t>McGuine et al., 2020</t>
  </si>
  <si>
    <t>volleyball</t>
  </si>
  <si>
    <t>Watson et al., 2021</t>
  </si>
  <si>
    <t>Steffen et al., 2008</t>
  </si>
  <si>
    <t>Beech et al., 2022</t>
  </si>
  <si>
    <t>Goggins et al., 2020</t>
  </si>
  <si>
    <t>cricket</t>
  </si>
  <si>
    <t>Clausen et al., 2014</t>
  </si>
  <si>
    <t>Mann et al., 2021</t>
  </si>
  <si>
    <t>distance running</t>
  </si>
  <si>
    <t>Sokka et al., 2020</t>
  </si>
  <si>
    <t>Hjelm et al., 2012</t>
  </si>
  <si>
    <t>Tennis</t>
  </si>
  <si>
    <t>upper limb</t>
  </si>
  <si>
    <t>trunk</t>
  </si>
  <si>
    <t>lower limb</t>
  </si>
  <si>
    <t>thigh/groin</t>
  </si>
  <si>
    <t>ankle</t>
  </si>
  <si>
    <t>knee</t>
  </si>
  <si>
    <t>shoulder</t>
  </si>
  <si>
    <t>elbow</t>
  </si>
  <si>
    <t>wrist</t>
  </si>
  <si>
    <t>chest</t>
  </si>
  <si>
    <t>thoracic spine</t>
  </si>
  <si>
    <t>lumbar spine</t>
  </si>
  <si>
    <t>thigh</t>
  </si>
  <si>
    <t>lower leg</t>
  </si>
  <si>
    <t>foot</t>
  </si>
  <si>
    <t>back</t>
  </si>
  <si>
    <t>hand</t>
  </si>
  <si>
    <t>pelvis</t>
  </si>
  <si>
    <t>arm</t>
  </si>
  <si>
    <t>neck</t>
  </si>
  <si>
    <t>thorax</t>
  </si>
  <si>
    <t>hip/groin</t>
  </si>
  <si>
    <t>lumbosacral</t>
  </si>
  <si>
    <t>total_count</t>
  </si>
  <si>
    <t>activity</t>
  </si>
  <si>
    <t>match</t>
  </si>
  <si>
    <t>overall</t>
  </si>
  <si>
    <t>location</t>
  </si>
  <si>
    <t>sport</t>
  </si>
  <si>
    <t>injury_count</t>
  </si>
  <si>
    <t>leg</t>
  </si>
  <si>
    <t>anterior thigh</t>
  </si>
  <si>
    <t>posterior thigh</t>
  </si>
  <si>
    <t>other</t>
  </si>
  <si>
    <t>lower back</t>
  </si>
  <si>
    <t>upper back</t>
  </si>
  <si>
    <t>abdomen</t>
  </si>
  <si>
    <t>shoulder/clavicle</t>
  </si>
  <si>
    <t>sternum/ribs/upper back</t>
  </si>
  <si>
    <t>cervical spine</t>
  </si>
  <si>
    <t xml:space="preserve">lower back/pelvis/sacrum </t>
  </si>
  <si>
    <t xml:space="preserve">upper back/neck </t>
  </si>
  <si>
    <t>head</t>
  </si>
  <si>
    <t>head &amp; neck</t>
  </si>
  <si>
    <t>lower back/sacrum</t>
  </si>
  <si>
    <t>upper body</t>
  </si>
  <si>
    <t>lower body</t>
  </si>
  <si>
    <t>type</t>
  </si>
  <si>
    <t>muscle/tendon</t>
  </si>
  <si>
    <t>ligament/joints</t>
  </si>
  <si>
    <t>CNS/PNS</t>
  </si>
  <si>
    <t>contusion/laceration/bruising</t>
  </si>
  <si>
    <t>bone/fracture</t>
  </si>
  <si>
    <t>Sprain</t>
  </si>
  <si>
    <t>Strain</t>
  </si>
  <si>
    <t>Contusion</t>
  </si>
  <si>
    <t>Tendinopathy</t>
  </si>
  <si>
    <t>Back injury</t>
  </si>
  <si>
    <t>Meniscal</t>
  </si>
  <si>
    <t>Fracture</t>
  </si>
  <si>
    <t>Osteochrondoses</t>
  </si>
  <si>
    <t>Chondral</t>
  </si>
  <si>
    <t>Dislocation</t>
  </si>
  <si>
    <t>Other overuse</t>
  </si>
  <si>
    <t>Others</t>
  </si>
  <si>
    <t>wound</t>
  </si>
  <si>
    <t>concusion</t>
  </si>
  <si>
    <t>fracture</t>
  </si>
  <si>
    <t>luxation</t>
  </si>
  <si>
    <t>sprain</t>
  </si>
  <si>
    <t>contusion</t>
  </si>
  <si>
    <t>tendinitis</t>
  </si>
  <si>
    <t>strain</t>
  </si>
  <si>
    <t>Ligament Sprain</t>
  </si>
  <si>
    <t>Muscle / Tendon strain</t>
  </si>
  <si>
    <t>Concussion</t>
  </si>
  <si>
    <t>Dislocation / Subluxation</t>
  </si>
  <si>
    <t>Meniscus Tear</t>
  </si>
  <si>
    <t>Acute Fracture</t>
  </si>
  <si>
    <t>Stress Fracture</t>
  </si>
  <si>
    <t>Other</t>
  </si>
  <si>
    <t>Ligament sprain</t>
  </si>
  <si>
    <t>Muscle/tendon strain</t>
  </si>
  <si>
    <t>Tendonitis/tenosynovitis</t>
  </si>
  <si>
    <t>Fracture - acute</t>
  </si>
  <si>
    <t>Meniscus tear</t>
  </si>
  <si>
    <t>Subluxation</t>
  </si>
  <si>
    <t>Abrasion</t>
  </si>
  <si>
    <t>Frature - stress</t>
  </si>
  <si>
    <t>Labral tear</t>
  </si>
  <si>
    <t>Laceration</t>
  </si>
  <si>
    <t>Strains</t>
  </si>
  <si>
    <t>Fractures</t>
  </si>
  <si>
    <t>Muscle strain</t>
  </si>
  <si>
    <t>Haematoma/contusion/bruise</t>
  </si>
  <si>
    <t>Other injuries</t>
  </si>
  <si>
    <t>Other bone injury</t>
  </si>
  <si>
    <t>Tendinosis</t>
  </si>
  <si>
    <t>Apophysitis</t>
  </si>
  <si>
    <t>Sprains</t>
  </si>
  <si>
    <t>Sprain/ligament injury</t>
  </si>
  <si>
    <t>severity_time_bin</t>
  </si>
  <si>
    <t>1-7 days</t>
  </si>
  <si>
    <t>8-28 days</t>
  </si>
  <si>
    <t>&gt; 28 days</t>
  </si>
  <si>
    <t>Unknown</t>
  </si>
  <si>
    <t>7-30 days</t>
  </si>
  <si>
    <t>&gt;30 days</t>
  </si>
  <si>
    <t>29-89 days</t>
  </si>
  <si>
    <t>≥ 90 days</t>
  </si>
  <si>
    <t>Sprouse et al., 2020</t>
  </si>
  <si>
    <t>Not reported</t>
  </si>
  <si>
    <t>&lt; 10 days</t>
  </si>
  <si>
    <t>10-21 days</t>
  </si>
  <si>
    <t>&gt; 21 days</t>
  </si>
  <si>
    <t>Achenbach et al., 2018</t>
  </si>
  <si>
    <t>Hagglund &amp; Walden, 2009</t>
  </si>
  <si>
    <t>0 days</t>
  </si>
  <si>
    <t>1-3 days</t>
  </si>
  <si>
    <t>4-7 days</t>
  </si>
  <si>
    <t>Junge &amp; Dvorak, 2013</t>
  </si>
  <si>
    <t>Not specified</t>
  </si>
  <si>
    <t>1 days</t>
  </si>
  <si>
    <t>8-29 days</t>
  </si>
  <si>
    <t>≥ 30 days</t>
  </si>
  <si>
    <t>Lislevand et al., 2014</t>
  </si>
  <si>
    <t>Emery et al., 2005</t>
  </si>
  <si>
    <t>1 day</t>
  </si>
  <si>
    <t>2-7 days</t>
  </si>
  <si>
    <t>8-14 days</t>
  </si>
  <si>
    <t>&gt;14 days</t>
  </si>
  <si>
    <t>&gt;28 days</t>
  </si>
  <si>
    <t>Concurrent</t>
  </si>
  <si>
    <t>Farley et al. 2022</t>
  </si>
  <si>
    <t>australian rules football</t>
  </si>
  <si>
    <t>2-3 days</t>
  </si>
  <si>
    <t>8-21 days</t>
  </si>
  <si>
    <t>injury_onset</t>
  </si>
  <si>
    <t>traumatic</t>
  </si>
  <si>
    <t>overuse</t>
  </si>
  <si>
    <t>acute</t>
  </si>
  <si>
    <t>gradual</t>
  </si>
  <si>
    <t>Acute</t>
  </si>
  <si>
    <t>Overuse</t>
  </si>
  <si>
    <t>Akerlund et al., 2019</t>
  </si>
  <si>
    <t>floorball</t>
  </si>
  <si>
    <t>Gradual onset</t>
  </si>
  <si>
    <t>Impact/traumatic</t>
  </si>
  <si>
    <t>Sudden onset no trauma</t>
  </si>
  <si>
    <t>Traumatic</t>
  </si>
  <si>
    <t>mechanism</t>
  </si>
  <si>
    <t>player contact</t>
  </si>
  <si>
    <t>non-contact</t>
  </si>
  <si>
    <t>other contact</t>
  </si>
  <si>
    <t>contact</t>
  </si>
  <si>
    <t>cumulative</t>
  </si>
  <si>
    <t>Contact</t>
  </si>
  <si>
    <t>Australian Rules Football</t>
  </si>
  <si>
    <t>Owoeye et al. 2020</t>
  </si>
  <si>
    <t>Basketball</t>
  </si>
  <si>
    <t>Pluim 2016</t>
  </si>
  <si>
    <t>tennis</t>
  </si>
  <si>
    <t>Westin et al. 2012</t>
  </si>
  <si>
    <t>Alpine Skiing</t>
  </si>
  <si>
    <t>Jacobsson et al. 2013</t>
  </si>
  <si>
    <t>Track &amp; Field</t>
  </si>
  <si>
    <t>head/face</t>
  </si>
  <si>
    <t>cervical/thoracic</t>
  </si>
  <si>
    <t>lumbar, pelvis, sacrum</t>
  </si>
  <si>
    <t>upper arm, elbow</t>
  </si>
  <si>
    <t>forearm, wrist, hand</t>
  </si>
  <si>
    <t>hip, groin, thigh</t>
  </si>
  <si>
    <t>knee, lower leg</t>
  </si>
  <si>
    <t>achilles tendon, ankle, foot/toe</t>
  </si>
  <si>
    <t>Unclassified</t>
  </si>
  <si>
    <t>Patellofemoral pain</t>
  </si>
  <si>
    <t>Subacromial impingement</t>
  </si>
  <si>
    <t>Tibialis posterior injuries</t>
  </si>
  <si>
    <t>Tendon</t>
  </si>
  <si>
    <t>Pain/ Injury not otherwise specified</t>
  </si>
  <si>
    <t>Muscle and Tendon Strain/ Spasm/ Trigger Points</t>
  </si>
  <si>
    <t>impingement/ synovitis</t>
  </si>
  <si>
    <t>Undiagnosed</t>
  </si>
  <si>
    <t>Inflammation and pain</t>
  </si>
  <si>
    <t>Spain, strain or rupture</t>
  </si>
  <si>
    <t>Joint derangement</t>
  </si>
  <si>
    <t>Internal</t>
  </si>
  <si>
    <t>8-20 days</t>
  </si>
  <si>
    <t>Gradual Onset</t>
  </si>
  <si>
    <t>Sudden Onset</t>
  </si>
  <si>
    <t>Traumatic Injury</t>
  </si>
  <si>
    <t>spine</t>
  </si>
  <si>
    <t>injured_athletes</t>
  </si>
  <si>
    <t>Schiff et al.</t>
  </si>
  <si>
    <t>prev</t>
  </si>
  <si>
    <t>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</si>
</sst>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7.5"/>
      <color rgb="FF181717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3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1" fontId="0" fillId="0" borderId="0" xfId="0" applyNumberFormat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7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424-C8D2-4FE6-874F-30F11A5821D6}">
  <dimension ref="A1:F200"/>
  <sheetViews>
    <sheetView workbookViewId="0">
      <selection activeCell="G67" sqref="G67"/>
    </sheetView>
  </sheetViews>
  <sheetFormatPr defaultRowHeight="14.4" x14ac:dyDescent="0.3"/>
  <cols>
    <col min="1" max="1" width="29.88671875" customWidth="1"/>
    <col min="2" max="5" width="13.109375" customWidth="1"/>
    <col min="6" max="6" width="13.109375" style="9" customWidth="1"/>
  </cols>
  <sheetData>
    <row r="1" spans="1:6" x14ac:dyDescent="0.3">
      <c r="A1" s="1" t="s">
        <v>0</v>
      </c>
      <c r="B1" s="1" t="s">
        <v>50</v>
      </c>
      <c r="C1" s="1" t="s">
        <v>46</v>
      </c>
      <c r="D1" s="1" t="s">
        <v>45</v>
      </c>
      <c r="E1" s="1" t="s">
        <v>49</v>
      </c>
      <c r="F1" s="10" t="s">
        <v>51</v>
      </c>
    </row>
    <row r="2" spans="1:6" x14ac:dyDescent="0.3">
      <c r="A2" t="s">
        <v>1</v>
      </c>
      <c r="B2" t="s">
        <v>2</v>
      </c>
      <c r="C2" t="s">
        <v>47</v>
      </c>
      <c r="D2">
        <v>20</v>
      </c>
      <c r="E2" t="s">
        <v>65</v>
      </c>
      <c r="F2" s="9">
        <v>4</v>
      </c>
    </row>
    <row r="3" spans="1:6" x14ac:dyDescent="0.3">
      <c r="A3" t="s">
        <v>1</v>
      </c>
      <c r="B3" t="s">
        <v>2</v>
      </c>
      <c r="C3" t="s">
        <v>47</v>
      </c>
      <c r="D3">
        <v>20</v>
      </c>
      <c r="E3" t="s">
        <v>22</v>
      </c>
      <c r="F3" s="9">
        <v>0</v>
      </c>
    </row>
    <row r="4" spans="1:6" x14ac:dyDescent="0.3">
      <c r="A4" t="s">
        <v>1</v>
      </c>
      <c r="B4" t="s">
        <v>2</v>
      </c>
      <c r="C4" t="s">
        <v>47</v>
      </c>
      <c r="D4">
        <v>20</v>
      </c>
      <c r="E4" t="s">
        <v>23</v>
      </c>
      <c r="F4" s="9">
        <v>1</v>
      </c>
    </row>
    <row r="5" spans="1:6" x14ac:dyDescent="0.3">
      <c r="A5" t="s">
        <v>1</v>
      </c>
      <c r="B5" t="s">
        <v>2</v>
      </c>
      <c r="C5" t="s">
        <v>47</v>
      </c>
      <c r="D5">
        <v>20</v>
      </c>
      <c r="E5" t="s">
        <v>24</v>
      </c>
      <c r="F5" s="9">
        <v>15</v>
      </c>
    </row>
    <row r="6" spans="1:6" x14ac:dyDescent="0.3">
      <c r="A6" t="s">
        <v>1</v>
      </c>
      <c r="B6" t="s">
        <v>2</v>
      </c>
      <c r="C6" t="s">
        <v>47</v>
      </c>
      <c r="D6">
        <v>20</v>
      </c>
      <c r="E6" t="s">
        <v>64</v>
      </c>
      <c r="F6" s="9">
        <v>1</v>
      </c>
    </row>
    <row r="7" spans="1:6" x14ac:dyDescent="0.3">
      <c r="A7" t="s">
        <v>1</v>
      </c>
      <c r="B7" t="s">
        <v>2</v>
      </c>
      <c r="C7" t="s">
        <v>47</v>
      </c>
      <c r="D7">
        <v>20</v>
      </c>
      <c r="E7" t="s">
        <v>25</v>
      </c>
      <c r="F7" s="9">
        <v>6</v>
      </c>
    </row>
    <row r="8" spans="1:6" x14ac:dyDescent="0.3">
      <c r="A8" t="s">
        <v>1</v>
      </c>
      <c r="B8" t="s">
        <v>2</v>
      </c>
      <c r="C8" t="s">
        <v>47</v>
      </c>
      <c r="D8">
        <v>20</v>
      </c>
      <c r="E8" t="s">
        <v>26</v>
      </c>
      <c r="F8" s="9">
        <v>6</v>
      </c>
    </row>
    <row r="9" spans="1:6" x14ac:dyDescent="0.3">
      <c r="A9" t="s">
        <v>1</v>
      </c>
      <c r="B9" t="s">
        <v>2</v>
      </c>
      <c r="C9" t="s">
        <v>47</v>
      </c>
      <c r="D9">
        <v>20</v>
      </c>
      <c r="E9" t="s">
        <v>27</v>
      </c>
      <c r="F9" s="9">
        <v>1</v>
      </c>
    </row>
    <row r="10" spans="1:6" x14ac:dyDescent="0.3">
      <c r="A10" t="s">
        <v>1</v>
      </c>
      <c r="B10" t="s">
        <v>2</v>
      </c>
      <c r="C10" t="s">
        <v>47</v>
      </c>
      <c r="D10">
        <v>20</v>
      </c>
      <c r="E10" t="s">
        <v>28</v>
      </c>
      <c r="F10" s="9">
        <v>0</v>
      </c>
    </row>
    <row r="11" spans="1:6" x14ac:dyDescent="0.3">
      <c r="A11" t="s">
        <v>1</v>
      </c>
      <c r="B11" t="s">
        <v>3</v>
      </c>
      <c r="C11" t="s">
        <v>47</v>
      </c>
      <c r="D11">
        <v>30</v>
      </c>
      <c r="E11" t="s">
        <v>65</v>
      </c>
      <c r="F11" s="9">
        <v>15</v>
      </c>
    </row>
    <row r="12" spans="1:6" x14ac:dyDescent="0.3">
      <c r="A12" t="s">
        <v>1</v>
      </c>
      <c r="B12" t="s">
        <v>3</v>
      </c>
      <c r="C12" t="s">
        <v>47</v>
      </c>
      <c r="D12">
        <v>30</v>
      </c>
      <c r="E12" t="s">
        <v>22</v>
      </c>
      <c r="F12" s="9">
        <v>6</v>
      </c>
    </row>
    <row r="13" spans="1:6" x14ac:dyDescent="0.3">
      <c r="A13" t="s">
        <v>1</v>
      </c>
      <c r="B13" t="s">
        <v>3</v>
      </c>
      <c r="C13" t="s">
        <v>47</v>
      </c>
      <c r="D13">
        <v>30</v>
      </c>
      <c r="E13" t="s">
        <v>23</v>
      </c>
      <c r="F13" s="9">
        <v>1</v>
      </c>
    </row>
    <row r="14" spans="1:6" x14ac:dyDescent="0.3">
      <c r="A14" t="s">
        <v>1</v>
      </c>
      <c r="B14" t="s">
        <v>3</v>
      </c>
      <c r="C14" t="s">
        <v>47</v>
      </c>
      <c r="D14">
        <v>30</v>
      </c>
      <c r="E14" t="s">
        <v>24</v>
      </c>
      <c r="F14" s="9">
        <v>8</v>
      </c>
    </row>
    <row r="15" spans="1:6" x14ac:dyDescent="0.3">
      <c r="A15" t="s">
        <v>1</v>
      </c>
      <c r="B15" t="s">
        <v>3</v>
      </c>
      <c r="C15" t="s">
        <v>47</v>
      </c>
      <c r="D15">
        <v>30</v>
      </c>
      <c r="E15" t="s">
        <v>64</v>
      </c>
      <c r="F15" s="9">
        <v>15</v>
      </c>
    </row>
    <row r="16" spans="1:6" x14ac:dyDescent="0.3">
      <c r="A16" t="s">
        <v>1</v>
      </c>
      <c r="B16" t="s">
        <v>3</v>
      </c>
      <c r="C16" t="s">
        <v>47</v>
      </c>
      <c r="D16">
        <v>30</v>
      </c>
      <c r="E16" t="s">
        <v>25</v>
      </c>
      <c r="F16" s="9">
        <v>0</v>
      </c>
    </row>
    <row r="17" spans="1:6" x14ac:dyDescent="0.3">
      <c r="A17" t="s">
        <v>1</v>
      </c>
      <c r="B17" t="s">
        <v>3</v>
      </c>
      <c r="C17" t="s">
        <v>47</v>
      </c>
      <c r="D17">
        <v>30</v>
      </c>
      <c r="E17" t="s">
        <v>26</v>
      </c>
      <c r="F17" s="9">
        <v>3</v>
      </c>
    </row>
    <row r="18" spans="1:6" x14ac:dyDescent="0.3">
      <c r="A18" t="s">
        <v>1</v>
      </c>
      <c r="B18" t="s">
        <v>3</v>
      </c>
      <c r="C18" t="s">
        <v>47</v>
      </c>
      <c r="D18">
        <v>30</v>
      </c>
      <c r="E18" t="s">
        <v>27</v>
      </c>
      <c r="F18" s="9">
        <v>5</v>
      </c>
    </row>
    <row r="19" spans="1:6" x14ac:dyDescent="0.3">
      <c r="A19" t="s">
        <v>1</v>
      </c>
      <c r="B19" t="s">
        <v>3</v>
      </c>
      <c r="C19" t="s">
        <v>47</v>
      </c>
      <c r="D19">
        <v>30</v>
      </c>
      <c r="E19" t="s">
        <v>28</v>
      </c>
      <c r="F19" s="9">
        <v>4</v>
      </c>
    </row>
    <row r="20" spans="1:6" x14ac:dyDescent="0.3">
      <c r="A20" t="s">
        <v>4</v>
      </c>
      <c r="B20" t="s">
        <v>2</v>
      </c>
      <c r="C20" t="s">
        <v>48</v>
      </c>
      <c r="D20">
        <v>619</v>
      </c>
      <c r="E20" t="s">
        <v>26</v>
      </c>
      <c r="F20" s="8">
        <v>157</v>
      </c>
    </row>
    <row r="21" spans="1:6" x14ac:dyDescent="0.3">
      <c r="A21" t="s">
        <v>4</v>
      </c>
      <c r="B21" t="s">
        <v>2</v>
      </c>
      <c r="C21" t="s">
        <v>48</v>
      </c>
      <c r="D21">
        <v>619</v>
      </c>
      <c r="E21" t="s">
        <v>34</v>
      </c>
      <c r="F21" s="8">
        <v>128</v>
      </c>
    </row>
    <row r="22" spans="1:6" x14ac:dyDescent="0.3">
      <c r="A22" t="s">
        <v>4</v>
      </c>
      <c r="B22" t="s">
        <v>2</v>
      </c>
      <c r="C22" t="s">
        <v>48</v>
      </c>
      <c r="D22">
        <v>619</v>
      </c>
      <c r="E22" t="s">
        <v>27</v>
      </c>
      <c r="F22" s="8">
        <v>104</v>
      </c>
    </row>
    <row r="23" spans="1:6" x14ac:dyDescent="0.3">
      <c r="A23" t="s">
        <v>4</v>
      </c>
      <c r="B23" t="s">
        <v>2</v>
      </c>
      <c r="C23" t="s">
        <v>48</v>
      </c>
      <c r="D23">
        <v>619</v>
      </c>
      <c r="E23" t="s">
        <v>43</v>
      </c>
      <c r="F23" s="8">
        <v>58</v>
      </c>
    </row>
    <row r="24" spans="1:6" x14ac:dyDescent="0.3">
      <c r="A24" t="s">
        <v>4</v>
      </c>
      <c r="B24" t="s">
        <v>2</v>
      </c>
      <c r="C24" t="s">
        <v>48</v>
      </c>
      <c r="D24">
        <v>619</v>
      </c>
      <c r="E24" t="s">
        <v>37</v>
      </c>
      <c r="F24" s="8">
        <v>47</v>
      </c>
    </row>
    <row r="25" spans="1:6" x14ac:dyDescent="0.3">
      <c r="A25" t="s">
        <v>4</v>
      </c>
      <c r="B25" t="s">
        <v>2</v>
      </c>
      <c r="C25" t="s">
        <v>48</v>
      </c>
      <c r="D25">
        <v>619</v>
      </c>
      <c r="E25" t="s">
        <v>36</v>
      </c>
      <c r="F25" s="8">
        <v>38</v>
      </c>
    </row>
    <row r="26" spans="1:6" x14ac:dyDescent="0.3">
      <c r="A26" t="s">
        <v>4</v>
      </c>
      <c r="B26" t="s">
        <v>2</v>
      </c>
      <c r="C26" t="s">
        <v>48</v>
      </c>
      <c r="D26">
        <v>619</v>
      </c>
      <c r="E26" t="s">
        <v>35</v>
      </c>
      <c r="F26" s="8">
        <v>31</v>
      </c>
    </row>
    <row r="27" spans="1:6" x14ac:dyDescent="0.3">
      <c r="A27" t="s">
        <v>4</v>
      </c>
      <c r="B27" t="s">
        <v>2</v>
      </c>
      <c r="C27" t="s">
        <v>48</v>
      </c>
      <c r="D27">
        <v>619</v>
      </c>
      <c r="E27" t="s">
        <v>38</v>
      </c>
      <c r="F27" s="8">
        <v>19</v>
      </c>
    </row>
    <row r="28" spans="1:6" x14ac:dyDescent="0.3">
      <c r="A28" t="s">
        <v>4</v>
      </c>
      <c r="B28" t="s">
        <v>2</v>
      </c>
      <c r="C28" t="s">
        <v>48</v>
      </c>
      <c r="D28">
        <v>619</v>
      </c>
      <c r="E28" t="s">
        <v>39</v>
      </c>
      <c r="F28" s="8">
        <v>12</v>
      </c>
    </row>
    <row r="29" spans="1:6" x14ac:dyDescent="0.3">
      <c r="A29" t="s">
        <v>4</v>
      </c>
      <c r="B29" t="s">
        <v>2</v>
      </c>
      <c r="C29" t="s">
        <v>48</v>
      </c>
      <c r="D29">
        <v>619</v>
      </c>
      <c r="E29" t="s">
        <v>28</v>
      </c>
      <c r="F29" s="8">
        <v>7</v>
      </c>
    </row>
    <row r="30" spans="1:6" x14ac:dyDescent="0.3">
      <c r="A30" t="s">
        <v>4</v>
      </c>
      <c r="B30" t="s">
        <v>2</v>
      </c>
      <c r="C30" t="s">
        <v>48</v>
      </c>
      <c r="D30">
        <v>619</v>
      </c>
      <c r="E30" t="s">
        <v>40</v>
      </c>
      <c r="F30" s="8">
        <v>9</v>
      </c>
    </row>
    <row r="31" spans="1:6" x14ac:dyDescent="0.3">
      <c r="A31" t="s">
        <v>4</v>
      </c>
      <c r="B31" t="s">
        <v>2</v>
      </c>
      <c r="C31" t="s">
        <v>48</v>
      </c>
      <c r="D31">
        <v>619</v>
      </c>
      <c r="E31" t="s">
        <v>23</v>
      </c>
      <c r="F31" s="8">
        <v>4</v>
      </c>
    </row>
    <row r="32" spans="1:6" x14ac:dyDescent="0.3">
      <c r="A32" t="s">
        <v>4</v>
      </c>
      <c r="B32" t="s">
        <v>2</v>
      </c>
      <c r="C32" t="s">
        <v>48</v>
      </c>
      <c r="D32">
        <v>619</v>
      </c>
      <c r="E32" t="s">
        <v>43</v>
      </c>
      <c r="F32" s="8">
        <v>2</v>
      </c>
    </row>
    <row r="33" spans="1:6" x14ac:dyDescent="0.3">
      <c r="A33" t="s">
        <v>4</v>
      </c>
      <c r="B33" t="s">
        <v>2</v>
      </c>
      <c r="C33" t="s">
        <v>48</v>
      </c>
      <c r="D33">
        <v>619</v>
      </c>
      <c r="E33" t="s">
        <v>64</v>
      </c>
      <c r="F33" s="8">
        <v>2</v>
      </c>
    </row>
    <row r="34" spans="1:6" x14ac:dyDescent="0.3">
      <c r="A34" t="s">
        <v>4</v>
      </c>
      <c r="B34" t="s">
        <v>2</v>
      </c>
      <c r="C34" t="s">
        <v>48</v>
      </c>
      <c r="D34">
        <v>619</v>
      </c>
      <c r="E34" t="s">
        <v>41</v>
      </c>
      <c r="F34" s="8">
        <v>1</v>
      </c>
    </row>
    <row r="35" spans="1:6" x14ac:dyDescent="0.3">
      <c r="A35" t="s">
        <v>5</v>
      </c>
      <c r="B35" t="s">
        <v>2</v>
      </c>
      <c r="C35" t="s">
        <v>48</v>
      </c>
      <c r="D35" s="3">
        <v>215</v>
      </c>
      <c r="E35" t="s">
        <v>27</v>
      </c>
      <c r="F35" s="9">
        <v>58</v>
      </c>
    </row>
    <row r="36" spans="1:6" x14ac:dyDescent="0.3">
      <c r="A36" t="s">
        <v>5</v>
      </c>
      <c r="B36" t="s">
        <v>2</v>
      </c>
      <c r="C36" t="s">
        <v>48</v>
      </c>
      <c r="D36" s="3">
        <v>215</v>
      </c>
      <c r="E36" t="s">
        <v>26</v>
      </c>
      <c r="F36" s="9">
        <v>52</v>
      </c>
    </row>
    <row r="37" spans="1:6" x14ac:dyDescent="0.3">
      <c r="A37" t="s">
        <v>5</v>
      </c>
      <c r="B37" t="s">
        <v>2</v>
      </c>
      <c r="C37" t="s">
        <v>48</v>
      </c>
      <c r="D37" s="3">
        <v>215</v>
      </c>
      <c r="E37" t="s">
        <v>52</v>
      </c>
      <c r="F37" s="9">
        <v>22</v>
      </c>
    </row>
    <row r="38" spans="1:6" x14ac:dyDescent="0.3">
      <c r="A38" t="s">
        <v>5</v>
      </c>
      <c r="B38" t="s">
        <v>2</v>
      </c>
      <c r="C38" t="s">
        <v>48</v>
      </c>
      <c r="D38" s="3">
        <v>215</v>
      </c>
      <c r="E38" t="s">
        <v>53</v>
      </c>
      <c r="F38" s="9">
        <v>9</v>
      </c>
    </row>
    <row r="39" spans="1:6" x14ac:dyDescent="0.3">
      <c r="A39" t="s">
        <v>5</v>
      </c>
      <c r="B39" t="s">
        <v>2</v>
      </c>
      <c r="C39" t="s">
        <v>48</v>
      </c>
      <c r="D39" s="3">
        <v>215</v>
      </c>
      <c r="E39" t="s">
        <v>54</v>
      </c>
      <c r="F39" s="9">
        <v>8</v>
      </c>
    </row>
    <row r="40" spans="1:6" x14ac:dyDescent="0.3">
      <c r="A40" t="s">
        <v>5</v>
      </c>
      <c r="B40" t="s">
        <v>2</v>
      </c>
      <c r="C40" t="s">
        <v>48</v>
      </c>
      <c r="D40" s="3">
        <v>215</v>
      </c>
      <c r="E40" t="s">
        <v>43</v>
      </c>
      <c r="F40" s="9">
        <v>9</v>
      </c>
    </row>
    <row r="41" spans="1:6" x14ac:dyDescent="0.3">
      <c r="A41" t="s">
        <v>6</v>
      </c>
      <c r="B41" t="s">
        <v>7</v>
      </c>
      <c r="C41" t="s">
        <v>48</v>
      </c>
      <c r="D41" s="3">
        <v>66</v>
      </c>
      <c r="E41" t="s">
        <v>64</v>
      </c>
      <c r="F41" s="9">
        <v>3</v>
      </c>
    </row>
    <row r="42" spans="1:6" x14ac:dyDescent="0.3">
      <c r="A42" t="s">
        <v>6</v>
      </c>
      <c r="B42" t="s">
        <v>7</v>
      </c>
      <c r="C42" t="s">
        <v>48</v>
      </c>
      <c r="D42" s="3">
        <v>66</v>
      </c>
      <c r="E42" t="s">
        <v>38</v>
      </c>
      <c r="F42" s="9">
        <v>10</v>
      </c>
    </row>
    <row r="43" spans="1:6" x14ac:dyDescent="0.3">
      <c r="A43" t="s">
        <v>6</v>
      </c>
      <c r="B43" t="s">
        <v>7</v>
      </c>
      <c r="C43" t="s">
        <v>48</v>
      </c>
      <c r="D43" s="3">
        <v>66</v>
      </c>
      <c r="E43" t="s">
        <v>38</v>
      </c>
      <c r="F43" s="9">
        <v>1</v>
      </c>
    </row>
    <row r="44" spans="1:6" x14ac:dyDescent="0.3">
      <c r="A44" t="s">
        <v>6</v>
      </c>
      <c r="B44" t="s">
        <v>7</v>
      </c>
      <c r="C44" t="s">
        <v>48</v>
      </c>
      <c r="D44" s="3">
        <v>66</v>
      </c>
      <c r="E44" t="s">
        <v>29</v>
      </c>
      <c r="F44" s="9">
        <v>9</v>
      </c>
    </row>
    <row r="45" spans="1:6" x14ac:dyDescent="0.3">
      <c r="A45" t="s">
        <v>6</v>
      </c>
      <c r="B45" t="s">
        <v>7</v>
      </c>
      <c r="C45" t="s">
        <v>48</v>
      </c>
      <c r="D45" s="3">
        <v>66</v>
      </c>
      <c r="E45" t="s">
        <v>28</v>
      </c>
      <c r="F45" s="9">
        <v>0</v>
      </c>
    </row>
    <row r="46" spans="1:6" x14ac:dyDescent="0.3">
      <c r="A46" t="s">
        <v>6</v>
      </c>
      <c r="B46" t="s">
        <v>7</v>
      </c>
      <c r="C46" t="s">
        <v>48</v>
      </c>
      <c r="D46" s="3">
        <v>66</v>
      </c>
      <c r="E46" t="s">
        <v>42</v>
      </c>
      <c r="F46" s="9">
        <v>0</v>
      </c>
    </row>
    <row r="47" spans="1:6" x14ac:dyDescent="0.3">
      <c r="A47" t="s">
        <v>6</v>
      </c>
      <c r="B47" t="s">
        <v>7</v>
      </c>
      <c r="C47" t="s">
        <v>48</v>
      </c>
      <c r="D47" s="3">
        <v>66</v>
      </c>
      <c r="E47" t="s">
        <v>37</v>
      </c>
      <c r="F47" s="9">
        <v>4</v>
      </c>
    </row>
    <row r="48" spans="1:6" x14ac:dyDescent="0.3">
      <c r="A48" t="s">
        <v>6</v>
      </c>
      <c r="B48" t="s">
        <v>7</v>
      </c>
      <c r="C48" t="s">
        <v>48</v>
      </c>
      <c r="D48" s="3">
        <v>66</v>
      </c>
      <c r="E48" t="s">
        <v>43</v>
      </c>
      <c r="F48" s="9">
        <v>1</v>
      </c>
    </row>
    <row r="49" spans="1:6" x14ac:dyDescent="0.3">
      <c r="A49" t="s">
        <v>6</v>
      </c>
      <c r="B49" t="s">
        <v>7</v>
      </c>
      <c r="C49" t="s">
        <v>48</v>
      </c>
      <c r="D49" s="3">
        <v>66</v>
      </c>
      <c r="E49" t="s">
        <v>43</v>
      </c>
      <c r="F49" s="9">
        <v>0</v>
      </c>
    </row>
    <row r="50" spans="1:6" x14ac:dyDescent="0.3">
      <c r="A50" t="s">
        <v>6</v>
      </c>
      <c r="B50" t="s">
        <v>7</v>
      </c>
      <c r="C50" t="s">
        <v>48</v>
      </c>
      <c r="D50" s="3">
        <v>66</v>
      </c>
      <c r="E50" t="s">
        <v>53</v>
      </c>
      <c r="F50" s="9">
        <v>0</v>
      </c>
    </row>
    <row r="51" spans="1:6" x14ac:dyDescent="0.3">
      <c r="A51" t="s">
        <v>6</v>
      </c>
      <c r="B51" t="s">
        <v>7</v>
      </c>
      <c r="C51" t="s">
        <v>48</v>
      </c>
      <c r="D51" s="3">
        <v>66</v>
      </c>
      <c r="E51" t="s">
        <v>54</v>
      </c>
      <c r="F51" s="9">
        <v>0</v>
      </c>
    </row>
    <row r="52" spans="1:6" x14ac:dyDescent="0.3">
      <c r="A52" t="s">
        <v>6</v>
      </c>
      <c r="B52" t="s">
        <v>7</v>
      </c>
      <c r="C52" t="s">
        <v>48</v>
      </c>
      <c r="D52" s="3">
        <v>66</v>
      </c>
      <c r="E52" t="s">
        <v>27</v>
      </c>
      <c r="F52" s="9">
        <v>8</v>
      </c>
    </row>
    <row r="53" spans="1:6" x14ac:dyDescent="0.3">
      <c r="A53" t="s">
        <v>6</v>
      </c>
      <c r="B53" t="s">
        <v>7</v>
      </c>
      <c r="C53" t="s">
        <v>48</v>
      </c>
      <c r="D53" s="3">
        <v>66</v>
      </c>
      <c r="E53" t="s">
        <v>35</v>
      </c>
      <c r="F53" s="9">
        <v>4</v>
      </c>
    </row>
    <row r="54" spans="1:6" x14ac:dyDescent="0.3">
      <c r="A54" t="s">
        <v>6</v>
      </c>
      <c r="B54" t="s">
        <v>7</v>
      </c>
      <c r="C54" t="s">
        <v>48</v>
      </c>
      <c r="D54" s="3">
        <v>66</v>
      </c>
      <c r="E54" t="s">
        <v>26</v>
      </c>
      <c r="F54" s="9">
        <v>23</v>
      </c>
    </row>
    <row r="55" spans="1:6" x14ac:dyDescent="0.3">
      <c r="A55" t="s">
        <v>6</v>
      </c>
      <c r="B55" t="s">
        <v>7</v>
      </c>
      <c r="C55" t="s">
        <v>48</v>
      </c>
      <c r="D55" s="3">
        <v>66</v>
      </c>
      <c r="E55" t="s">
        <v>36</v>
      </c>
      <c r="F55" s="9">
        <v>1</v>
      </c>
    </row>
    <row r="56" spans="1:6" x14ac:dyDescent="0.3">
      <c r="A56" s="3" t="s">
        <v>9</v>
      </c>
      <c r="B56" t="s">
        <v>10</v>
      </c>
      <c r="C56" t="s">
        <v>48</v>
      </c>
      <c r="D56" s="3">
        <v>393</v>
      </c>
      <c r="E56" s="3" t="s">
        <v>26</v>
      </c>
      <c r="F56" s="9">
        <v>110</v>
      </c>
    </row>
    <row r="57" spans="1:6" x14ac:dyDescent="0.3">
      <c r="A57" s="3" t="s">
        <v>9</v>
      </c>
      <c r="B57" t="s">
        <v>10</v>
      </c>
      <c r="C57" t="s">
        <v>48</v>
      </c>
      <c r="D57" s="3">
        <v>393</v>
      </c>
      <c r="E57" t="s">
        <v>27</v>
      </c>
      <c r="F57" s="9">
        <v>54</v>
      </c>
    </row>
    <row r="58" spans="1:6" x14ac:dyDescent="0.3">
      <c r="A58" s="3" t="s">
        <v>9</v>
      </c>
      <c r="B58" t="s">
        <v>10</v>
      </c>
      <c r="C58" t="s">
        <v>48</v>
      </c>
      <c r="D58" s="3">
        <v>393</v>
      </c>
      <c r="E58" t="s">
        <v>38</v>
      </c>
      <c r="F58" s="9">
        <v>35</v>
      </c>
    </row>
    <row r="59" spans="1:6" x14ac:dyDescent="0.3">
      <c r="A59" s="3" t="s">
        <v>9</v>
      </c>
      <c r="B59" t="s">
        <v>10</v>
      </c>
      <c r="C59" t="s">
        <v>48</v>
      </c>
      <c r="D59" s="3">
        <v>393</v>
      </c>
      <c r="E59" t="s">
        <v>28</v>
      </c>
      <c r="F59" s="9">
        <v>43</v>
      </c>
    </row>
    <row r="60" spans="1:6" x14ac:dyDescent="0.3">
      <c r="A60" s="3" t="s">
        <v>9</v>
      </c>
      <c r="B60" t="s">
        <v>10</v>
      </c>
      <c r="C60" t="s">
        <v>48</v>
      </c>
      <c r="D60" s="3">
        <v>393</v>
      </c>
      <c r="E60" t="s">
        <v>35</v>
      </c>
      <c r="F60" s="9">
        <v>33</v>
      </c>
    </row>
    <row r="61" spans="1:6" x14ac:dyDescent="0.3">
      <c r="A61" s="3" t="s">
        <v>9</v>
      </c>
      <c r="B61" t="s">
        <v>10</v>
      </c>
      <c r="C61" t="s">
        <v>48</v>
      </c>
      <c r="D61" s="3">
        <v>393</v>
      </c>
      <c r="E61" t="s">
        <v>64</v>
      </c>
      <c r="F61" s="9">
        <v>38</v>
      </c>
    </row>
    <row r="62" spans="1:6" x14ac:dyDescent="0.3">
      <c r="A62" s="3" t="s">
        <v>9</v>
      </c>
      <c r="B62" t="s">
        <v>10</v>
      </c>
      <c r="C62" t="s">
        <v>48</v>
      </c>
      <c r="D62" s="3">
        <v>393</v>
      </c>
      <c r="E62" t="s">
        <v>34</v>
      </c>
      <c r="F62" s="9">
        <v>17</v>
      </c>
    </row>
    <row r="63" spans="1:6" x14ac:dyDescent="0.3">
      <c r="A63" s="3" t="s">
        <v>9</v>
      </c>
      <c r="B63" t="s">
        <v>10</v>
      </c>
      <c r="C63" t="s">
        <v>48</v>
      </c>
      <c r="D63" s="3">
        <v>393</v>
      </c>
      <c r="E63" t="s">
        <v>43</v>
      </c>
      <c r="F63" s="9">
        <v>14</v>
      </c>
    </row>
    <row r="64" spans="1:6" x14ac:dyDescent="0.3">
      <c r="A64" s="3" t="s">
        <v>9</v>
      </c>
      <c r="B64" t="s">
        <v>10</v>
      </c>
      <c r="C64" t="s">
        <v>48</v>
      </c>
      <c r="D64" s="3">
        <v>393</v>
      </c>
      <c r="E64" t="s">
        <v>30</v>
      </c>
      <c r="F64" s="9">
        <v>14</v>
      </c>
    </row>
    <row r="65" spans="1:6" x14ac:dyDescent="0.3">
      <c r="A65" s="3" t="s">
        <v>9</v>
      </c>
      <c r="B65" t="s">
        <v>10</v>
      </c>
      <c r="C65" t="s">
        <v>48</v>
      </c>
      <c r="D65" s="3">
        <v>393</v>
      </c>
      <c r="E65" t="s">
        <v>36</v>
      </c>
      <c r="F65" s="9">
        <v>11</v>
      </c>
    </row>
    <row r="66" spans="1:6" x14ac:dyDescent="0.3">
      <c r="A66" s="3" t="s">
        <v>9</v>
      </c>
      <c r="B66" t="s">
        <v>10</v>
      </c>
      <c r="C66" t="s">
        <v>48</v>
      </c>
      <c r="D66" s="3">
        <v>393</v>
      </c>
      <c r="E66" t="s">
        <v>29</v>
      </c>
      <c r="F66" s="9">
        <v>9</v>
      </c>
    </row>
    <row r="67" spans="1:6" x14ac:dyDescent="0.3">
      <c r="A67" s="3" t="s">
        <v>9</v>
      </c>
      <c r="B67" t="s">
        <v>10</v>
      </c>
      <c r="C67" t="s">
        <v>48</v>
      </c>
      <c r="D67" s="3">
        <v>393</v>
      </c>
      <c r="E67" t="s">
        <v>55</v>
      </c>
      <c r="F67" s="9">
        <v>16</v>
      </c>
    </row>
    <row r="68" spans="1:6" x14ac:dyDescent="0.3">
      <c r="A68" s="3" t="s">
        <v>11</v>
      </c>
      <c r="B68" t="s">
        <v>10</v>
      </c>
      <c r="C68" s="3" t="s">
        <v>48</v>
      </c>
      <c r="D68" s="3">
        <v>203</v>
      </c>
      <c r="E68" s="3" t="s">
        <v>26</v>
      </c>
      <c r="F68" s="9">
        <v>60</v>
      </c>
    </row>
    <row r="69" spans="1:6" x14ac:dyDescent="0.3">
      <c r="A69" s="3" t="s">
        <v>11</v>
      </c>
      <c r="B69" t="s">
        <v>10</v>
      </c>
      <c r="C69" s="3" t="s">
        <v>48</v>
      </c>
      <c r="D69" s="3">
        <v>203</v>
      </c>
      <c r="E69" t="s">
        <v>27</v>
      </c>
      <c r="F69" s="9">
        <v>29</v>
      </c>
    </row>
    <row r="70" spans="1:6" x14ac:dyDescent="0.3">
      <c r="A70" s="3" t="s">
        <v>11</v>
      </c>
      <c r="B70" t="s">
        <v>10</v>
      </c>
      <c r="C70" s="3" t="s">
        <v>48</v>
      </c>
      <c r="D70" s="3">
        <v>203</v>
      </c>
      <c r="E70" t="s">
        <v>28</v>
      </c>
      <c r="F70" s="9">
        <v>23</v>
      </c>
    </row>
    <row r="71" spans="1:6" x14ac:dyDescent="0.3">
      <c r="A71" s="3" t="s">
        <v>11</v>
      </c>
      <c r="B71" t="s">
        <v>10</v>
      </c>
      <c r="C71" s="3" t="s">
        <v>48</v>
      </c>
      <c r="D71" s="3">
        <v>203</v>
      </c>
      <c r="E71" t="s">
        <v>38</v>
      </c>
      <c r="F71" s="9">
        <v>21</v>
      </c>
    </row>
    <row r="72" spans="1:6" x14ac:dyDescent="0.3">
      <c r="A72" s="3" t="s">
        <v>11</v>
      </c>
      <c r="B72" t="s">
        <v>10</v>
      </c>
      <c r="C72" s="3" t="s">
        <v>48</v>
      </c>
      <c r="D72" s="3">
        <v>203</v>
      </c>
      <c r="E72" t="s">
        <v>64</v>
      </c>
      <c r="F72" s="9">
        <v>15</v>
      </c>
    </row>
    <row r="73" spans="1:6" x14ac:dyDescent="0.3">
      <c r="A73" s="3" t="s">
        <v>11</v>
      </c>
      <c r="B73" t="s">
        <v>10</v>
      </c>
      <c r="C73" s="3" t="s">
        <v>48</v>
      </c>
      <c r="D73" s="3">
        <v>203</v>
      </c>
      <c r="E73" t="s">
        <v>34</v>
      </c>
      <c r="F73" s="9">
        <v>10</v>
      </c>
    </row>
    <row r="74" spans="1:6" x14ac:dyDescent="0.3">
      <c r="A74" s="3" t="s">
        <v>11</v>
      </c>
      <c r="B74" t="s">
        <v>10</v>
      </c>
      <c r="C74" s="3" t="s">
        <v>48</v>
      </c>
      <c r="D74" s="3">
        <v>203</v>
      </c>
      <c r="E74" t="s">
        <v>36</v>
      </c>
      <c r="F74" s="9">
        <v>9</v>
      </c>
    </row>
    <row r="75" spans="1:6" x14ac:dyDescent="0.3">
      <c r="A75" s="3" t="s">
        <v>11</v>
      </c>
      <c r="B75" t="s">
        <v>10</v>
      </c>
      <c r="C75" s="3" t="s">
        <v>48</v>
      </c>
      <c r="D75" s="3">
        <v>203</v>
      </c>
      <c r="E75" t="s">
        <v>56</v>
      </c>
      <c r="F75" s="9">
        <v>8</v>
      </c>
    </row>
    <row r="76" spans="1:6" x14ac:dyDescent="0.3">
      <c r="A76" s="3" t="s">
        <v>11</v>
      </c>
      <c r="B76" t="s">
        <v>10</v>
      </c>
      <c r="C76" s="3" t="s">
        <v>48</v>
      </c>
      <c r="D76" s="3">
        <v>203</v>
      </c>
      <c r="E76" t="s">
        <v>43</v>
      </c>
      <c r="F76" s="9">
        <v>7</v>
      </c>
    </row>
    <row r="77" spans="1:6" x14ac:dyDescent="0.3">
      <c r="A77" s="3" t="s">
        <v>11</v>
      </c>
      <c r="B77" t="s">
        <v>10</v>
      </c>
      <c r="C77" s="3" t="s">
        <v>48</v>
      </c>
      <c r="D77" s="3">
        <v>203</v>
      </c>
      <c r="E77" t="s">
        <v>30</v>
      </c>
      <c r="F77" s="9">
        <v>5</v>
      </c>
    </row>
    <row r="78" spans="1:6" x14ac:dyDescent="0.3">
      <c r="A78" s="3" t="s">
        <v>11</v>
      </c>
      <c r="B78" t="s">
        <v>10</v>
      </c>
      <c r="C78" s="3" t="s">
        <v>48</v>
      </c>
      <c r="D78" s="3">
        <v>203</v>
      </c>
      <c r="E78" t="s">
        <v>35</v>
      </c>
      <c r="F78" s="9">
        <v>4</v>
      </c>
    </row>
    <row r="79" spans="1:6" x14ac:dyDescent="0.3">
      <c r="A79" s="3" t="s">
        <v>11</v>
      </c>
      <c r="B79" t="s">
        <v>10</v>
      </c>
      <c r="C79" s="3" t="s">
        <v>48</v>
      </c>
      <c r="D79" s="3">
        <v>203</v>
      </c>
      <c r="E79" t="s">
        <v>57</v>
      </c>
      <c r="F79" s="9">
        <v>4</v>
      </c>
    </row>
    <row r="80" spans="1:6" x14ac:dyDescent="0.3">
      <c r="A80" s="3" t="s">
        <v>11</v>
      </c>
      <c r="B80" t="s">
        <v>10</v>
      </c>
      <c r="C80" s="3" t="s">
        <v>48</v>
      </c>
      <c r="D80" s="3">
        <v>203</v>
      </c>
      <c r="E80" t="s">
        <v>29</v>
      </c>
      <c r="F80" s="9">
        <v>2</v>
      </c>
    </row>
    <row r="81" spans="1:6" x14ac:dyDescent="0.3">
      <c r="A81" s="3" t="s">
        <v>11</v>
      </c>
      <c r="B81" t="s">
        <v>10</v>
      </c>
      <c r="C81" s="3" t="s">
        <v>48</v>
      </c>
      <c r="D81" s="3">
        <v>203</v>
      </c>
      <c r="E81" t="s">
        <v>39</v>
      </c>
      <c r="F81" s="9">
        <v>2</v>
      </c>
    </row>
    <row r="82" spans="1:6" x14ac:dyDescent="0.3">
      <c r="A82" s="3" t="s">
        <v>11</v>
      </c>
      <c r="B82" t="s">
        <v>10</v>
      </c>
      <c r="C82" s="3" t="s">
        <v>48</v>
      </c>
      <c r="D82" s="3">
        <v>203</v>
      </c>
      <c r="E82" t="s">
        <v>58</v>
      </c>
      <c r="F82" s="9">
        <v>1</v>
      </c>
    </row>
    <row r="83" spans="1:6" x14ac:dyDescent="0.3">
      <c r="A83" s="3" t="s">
        <v>11</v>
      </c>
      <c r="B83" t="s">
        <v>10</v>
      </c>
      <c r="C83" s="3" t="s">
        <v>48</v>
      </c>
      <c r="D83" s="3">
        <v>203</v>
      </c>
      <c r="E83" t="s">
        <v>31</v>
      </c>
      <c r="F83" s="9">
        <v>1</v>
      </c>
    </row>
    <row r="84" spans="1:6" x14ac:dyDescent="0.3">
      <c r="A84" s="3" t="s">
        <v>11</v>
      </c>
      <c r="B84" t="s">
        <v>10</v>
      </c>
      <c r="C84" s="3" t="s">
        <v>48</v>
      </c>
      <c r="D84" s="3">
        <v>203</v>
      </c>
      <c r="E84" t="s">
        <v>64</v>
      </c>
      <c r="F84" s="9">
        <v>1</v>
      </c>
    </row>
    <row r="85" spans="1:6" x14ac:dyDescent="0.3">
      <c r="A85" s="3" t="s">
        <v>11</v>
      </c>
      <c r="B85" t="s">
        <v>10</v>
      </c>
      <c r="C85" s="3" t="s">
        <v>48</v>
      </c>
      <c r="D85" s="3">
        <v>203</v>
      </c>
      <c r="E85" t="s">
        <v>41</v>
      </c>
      <c r="F85" s="9">
        <v>1</v>
      </c>
    </row>
    <row r="86" spans="1:6" x14ac:dyDescent="0.3">
      <c r="A86" s="3" t="s">
        <v>12</v>
      </c>
      <c r="B86" s="3" t="s">
        <v>2</v>
      </c>
      <c r="C86" s="3" t="s">
        <v>48</v>
      </c>
      <c r="D86" s="3">
        <v>241</v>
      </c>
      <c r="E86" s="3" t="s">
        <v>67</v>
      </c>
      <c r="F86" s="9">
        <v>37</v>
      </c>
    </row>
    <row r="87" spans="1:6" x14ac:dyDescent="0.3">
      <c r="A87" s="3" t="s">
        <v>12</v>
      </c>
      <c r="B87" s="3" t="s">
        <v>2</v>
      </c>
      <c r="C87" s="3" t="s">
        <v>48</v>
      </c>
      <c r="D87" s="3">
        <v>241</v>
      </c>
      <c r="E87" s="3" t="s">
        <v>68</v>
      </c>
      <c r="F87" s="9">
        <v>173</v>
      </c>
    </row>
    <row r="88" spans="1:6" x14ac:dyDescent="0.3">
      <c r="A88" s="3" t="s">
        <v>12</v>
      </c>
      <c r="B88" s="3" t="s">
        <v>2</v>
      </c>
      <c r="C88" s="3" t="s">
        <v>48</v>
      </c>
      <c r="D88" s="3">
        <v>241</v>
      </c>
      <c r="E88" s="3" t="s">
        <v>43</v>
      </c>
      <c r="F88" s="9">
        <v>14</v>
      </c>
    </row>
    <row r="89" spans="1:6" x14ac:dyDescent="0.3">
      <c r="A89" s="3" t="s">
        <v>12</v>
      </c>
      <c r="B89" s="3" t="s">
        <v>2</v>
      </c>
      <c r="C89" s="3" t="s">
        <v>48</v>
      </c>
      <c r="D89" s="3">
        <v>241</v>
      </c>
      <c r="E89" s="3" t="s">
        <v>34</v>
      </c>
      <c r="F89" s="9">
        <v>28</v>
      </c>
    </row>
    <row r="90" spans="1:6" x14ac:dyDescent="0.3">
      <c r="A90" s="3" t="s">
        <v>12</v>
      </c>
      <c r="B90" s="3" t="s">
        <v>2</v>
      </c>
      <c r="C90" s="3" t="s">
        <v>48</v>
      </c>
      <c r="D90" s="3">
        <v>241</v>
      </c>
      <c r="E90" s="3" t="s">
        <v>27</v>
      </c>
      <c r="F90" s="9">
        <v>30</v>
      </c>
    </row>
    <row r="91" spans="1:6" x14ac:dyDescent="0.3">
      <c r="A91" s="3" t="s">
        <v>12</v>
      </c>
      <c r="B91" s="3" t="s">
        <v>2</v>
      </c>
      <c r="C91" s="3" t="s">
        <v>48</v>
      </c>
      <c r="D91" s="3">
        <v>241</v>
      </c>
      <c r="E91" s="3" t="s">
        <v>26</v>
      </c>
      <c r="F91" s="9">
        <v>74</v>
      </c>
    </row>
    <row r="92" spans="1:6" x14ac:dyDescent="0.3">
      <c r="A92" s="3" t="s">
        <v>13</v>
      </c>
      <c r="B92" s="3" t="s">
        <v>2</v>
      </c>
      <c r="C92" s="3" t="s">
        <v>48</v>
      </c>
      <c r="D92" s="5">
        <v>111</v>
      </c>
      <c r="E92" t="s">
        <v>65</v>
      </c>
      <c r="F92" s="9">
        <v>6</v>
      </c>
    </row>
    <row r="93" spans="1:6" x14ac:dyDescent="0.3">
      <c r="A93" s="3" t="s">
        <v>13</v>
      </c>
      <c r="B93" s="3" t="s">
        <v>2</v>
      </c>
      <c r="C93" s="3" t="s">
        <v>48</v>
      </c>
      <c r="D93" s="5">
        <v>111</v>
      </c>
      <c r="E93" t="s">
        <v>64</v>
      </c>
      <c r="F93" s="9">
        <v>5</v>
      </c>
    </row>
    <row r="94" spans="1:6" x14ac:dyDescent="0.3">
      <c r="A94" s="3" t="s">
        <v>13</v>
      </c>
      <c r="B94" s="3" t="s">
        <v>2</v>
      </c>
      <c r="C94" s="3" t="s">
        <v>48</v>
      </c>
      <c r="D94" s="5">
        <v>111</v>
      </c>
      <c r="E94" t="s">
        <v>41</v>
      </c>
      <c r="F94" s="9">
        <v>1</v>
      </c>
    </row>
    <row r="95" spans="1:6" x14ac:dyDescent="0.3">
      <c r="A95" s="3" t="s">
        <v>13</v>
      </c>
      <c r="B95" s="3" t="s">
        <v>2</v>
      </c>
      <c r="C95" s="3" t="s">
        <v>48</v>
      </c>
      <c r="D95" s="5">
        <v>111</v>
      </c>
      <c r="E95" t="s">
        <v>22</v>
      </c>
      <c r="F95" s="9">
        <v>11</v>
      </c>
    </row>
    <row r="96" spans="1:6" x14ac:dyDescent="0.3">
      <c r="A96" s="3" t="s">
        <v>13</v>
      </c>
      <c r="B96" s="3" t="s">
        <v>2</v>
      </c>
      <c r="C96" s="3" t="s">
        <v>48</v>
      </c>
      <c r="D96" s="5">
        <v>111</v>
      </c>
      <c r="E96" t="s">
        <v>59</v>
      </c>
      <c r="F96" s="9">
        <v>2</v>
      </c>
    </row>
    <row r="97" spans="1:6" x14ac:dyDescent="0.3">
      <c r="A97" s="3" t="s">
        <v>13</v>
      </c>
      <c r="B97" s="3" t="s">
        <v>2</v>
      </c>
      <c r="C97" s="3" t="s">
        <v>48</v>
      </c>
      <c r="D97" s="5">
        <v>111</v>
      </c>
      <c r="E97" t="s">
        <v>30</v>
      </c>
      <c r="F97" s="9">
        <v>4</v>
      </c>
    </row>
    <row r="98" spans="1:6" x14ac:dyDescent="0.3">
      <c r="A98" s="3" t="s">
        <v>13</v>
      </c>
      <c r="B98" s="3" t="s">
        <v>2</v>
      </c>
      <c r="C98" s="3" t="s">
        <v>48</v>
      </c>
      <c r="D98" s="5">
        <v>111</v>
      </c>
      <c r="E98" t="s">
        <v>38</v>
      </c>
      <c r="F98" s="9">
        <v>5</v>
      </c>
    </row>
    <row r="99" spans="1:6" x14ac:dyDescent="0.3">
      <c r="A99" s="3" t="s">
        <v>13</v>
      </c>
      <c r="B99" s="3" t="s">
        <v>2</v>
      </c>
      <c r="C99" s="3" t="s">
        <v>48</v>
      </c>
      <c r="D99" s="5">
        <v>111</v>
      </c>
      <c r="E99" t="s">
        <v>23</v>
      </c>
      <c r="F99" s="9">
        <v>6</v>
      </c>
    </row>
    <row r="100" spans="1:6" x14ac:dyDescent="0.3">
      <c r="A100" s="3" t="s">
        <v>13</v>
      </c>
      <c r="B100" s="3" t="s">
        <v>2</v>
      </c>
      <c r="C100" s="3" t="s">
        <v>48</v>
      </c>
      <c r="D100" s="5">
        <v>111</v>
      </c>
      <c r="E100" t="s">
        <v>60</v>
      </c>
      <c r="F100" s="9">
        <v>1</v>
      </c>
    </row>
    <row r="101" spans="1:6" x14ac:dyDescent="0.3">
      <c r="A101" s="3" t="s">
        <v>13</v>
      </c>
      <c r="B101" s="3" t="s">
        <v>2</v>
      </c>
      <c r="C101" s="3" t="s">
        <v>48</v>
      </c>
      <c r="D101" s="5">
        <v>111</v>
      </c>
      <c r="E101" t="s">
        <v>66</v>
      </c>
      <c r="F101" s="9">
        <v>5</v>
      </c>
    </row>
    <row r="102" spans="1:6" x14ac:dyDescent="0.3">
      <c r="A102" s="3" t="s">
        <v>13</v>
      </c>
      <c r="B102" s="3" t="s">
        <v>2</v>
      </c>
      <c r="C102" s="3" t="s">
        <v>48</v>
      </c>
      <c r="D102" s="5">
        <v>111</v>
      </c>
      <c r="E102" t="s">
        <v>24</v>
      </c>
      <c r="F102" s="9">
        <v>87</v>
      </c>
    </row>
    <row r="103" spans="1:6" x14ac:dyDescent="0.3">
      <c r="A103" s="3" t="s">
        <v>13</v>
      </c>
      <c r="B103" s="3" t="s">
        <v>2</v>
      </c>
      <c r="C103" s="3" t="s">
        <v>48</v>
      </c>
      <c r="D103" s="5">
        <v>111</v>
      </c>
      <c r="E103" t="s">
        <v>43</v>
      </c>
      <c r="F103" s="9">
        <v>15</v>
      </c>
    </row>
    <row r="104" spans="1:6" x14ac:dyDescent="0.3">
      <c r="A104" s="3" t="s">
        <v>13</v>
      </c>
      <c r="B104" s="3" t="s">
        <v>2</v>
      </c>
      <c r="C104" s="3" t="s">
        <v>48</v>
      </c>
      <c r="D104" s="5">
        <v>111</v>
      </c>
      <c r="E104" t="s">
        <v>53</v>
      </c>
      <c r="F104" s="9">
        <v>9</v>
      </c>
    </row>
    <row r="105" spans="1:6" x14ac:dyDescent="0.3">
      <c r="A105" s="3" t="s">
        <v>13</v>
      </c>
      <c r="B105" s="3" t="s">
        <v>2</v>
      </c>
      <c r="C105" s="3" t="s">
        <v>48</v>
      </c>
      <c r="D105" s="5">
        <v>111</v>
      </c>
      <c r="E105" t="s">
        <v>54</v>
      </c>
      <c r="F105" s="9">
        <v>14</v>
      </c>
    </row>
    <row r="106" spans="1:6" x14ac:dyDescent="0.3">
      <c r="A106" s="3" t="s">
        <v>13</v>
      </c>
      <c r="B106" s="3" t="s">
        <v>2</v>
      </c>
      <c r="C106" s="3" t="s">
        <v>48</v>
      </c>
      <c r="D106" s="5">
        <v>111</v>
      </c>
      <c r="E106" t="s">
        <v>27</v>
      </c>
      <c r="F106" s="9">
        <v>18</v>
      </c>
    </row>
    <row r="107" spans="1:6" x14ac:dyDescent="0.3">
      <c r="A107" s="3" t="s">
        <v>13</v>
      </c>
      <c r="B107" s="3" t="s">
        <v>2</v>
      </c>
      <c r="C107" s="3" t="s">
        <v>48</v>
      </c>
      <c r="D107" s="5">
        <v>111</v>
      </c>
      <c r="E107" t="s">
        <v>35</v>
      </c>
      <c r="F107" s="9">
        <v>5</v>
      </c>
    </row>
    <row r="108" spans="1:6" x14ac:dyDescent="0.3">
      <c r="A108" s="3" t="s">
        <v>13</v>
      </c>
      <c r="B108" s="3" t="s">
        <v>2</v>
      </c>
      <c r="C108" s="3" t="s">
        <v>48</v>
      </c>
      <c r="D108" s="5">
        <v>111</v>
      </c>
      <c r="E108" t="s">
        <v>26</v>
      </c>
      <c r="F108" s="9">
        <v>20</v>
      </c>
    </row>
    <row r="109" spans="1:6" x14ac:dyDescent="0.3">
      <c r="A109" s="3" t="s">
        <v>13</v>
      </c>
      <c r="B109" s="3" t="s">
        <v>2</v>
      </c>
      <c r="C109" s="3" t="s">
        <v>48</v>
      </c>
      <c r="D109" s="5">
        <v>111</v>
      </c>
      <c r="E109" t="s">
        <v>36</v>
      </c>
      <c r="F109" s="9">
        <v>7</v>
      </c>
    </row>
    <row r="110" spans="1:6" x14ac:dyDescent="0.3">
      <c r="A110" s="3" t="s">
        <v>14</v>
      </c>
      <c r="B110" s="3" t="s">
        <v>15</v>
      </c>
      <c r="C110" s="3" t="s">
        <v>48</v>
      </c>
      <c r="D110" s="3">
        <v>35</v>
      </c>
      <c r="E110" t="s">
        <v>29</v>
      </c>
      <c r="F110" s="9">
        <v>1</v>
      </c>
    </row>
    <row r="111" spans="1:6" x14ac:dyDescent="0.3">
      <c r="A111" s="3" t="s">
        <v>14</v>
      </c>
      <c r="B111" s="3" t="s">
        <v>15</v>
      </c>
      <c r="C111" s="3" t="s">
        <v>48</v>
      </c>
      <c r="D111" s="3">
        <v>35</v>
      </c>
      <c r="E111" t="s">
        <v>36</v>
      </c>
      <c r="F111" s="9">
        <v>2</v>
      </c>
    </row>
    <row r="112" spans="1:6" x14ac:dyDescent="0.3">
      <c r="A112" s="3" t="s">
        <v>14</v>
      </c>
      <c r="B112" s="3" t="s">
        <v>15</v>
      </c>
      <c r="C112" s="3" t="s">
        <v>48</v>
      </c>
      <c r="D112" s="3">
        <v>35</v>
      </c>
      <c r="E112" t="s">
        <v>38</v>
      </c>
      <c r="F112" s="9">
        <v>6</v>
      </c>
    </row>
    <row r="113" spans="1:6" x14ac:dyDescent="0.3">
      <c r="A113" s="3" t="s">
        <v>14</v>
      </c>
      <c r="B113" s="3" t="s">
        <v>15</v>
      </c>
      <c r="C113" s="3" t="s">
        <v>48</v>
      </c>
      <c r="D113" s="3">
        <v>35</v>
      </c>
      <c r="E113" t="s">
        <v>64</v>
      </c>
      <c r="F113" s="9">
        <v>5</v>
      </c>
    </row>
    <row r="114" spans="1:6" x14ac:dyDescent="0.3">
      <c r="A114" s="3" t="s">
        <v>14</v>
      </c>
      <c r="B114" s="3" t="s">
        <v>15</v>
      </c>
      <c r="C114" s="3" t="s">
        <v>48</v>
      </c>
      <c r="D114" s="3">
        <v>35</v>
      </c>
      <c r="E114" t="s">
        <v>43</v>
      </c>
      <c r="F114" s="9">
        <v>2</v>
      </c>
    </row>
    <row r="115" spans="1:6" x14ac:dyDescent="0.3">
      <c r="A115" s="3" t="s">
        <v>14</v>
      </c>
      <c r="B115" s="3" t="s">
        <v>15</v>
      </c>
      <c r="C115" s="3" t="s">
        <v>48</v>
      </c>
      <c r="D115" s="3">
        <v>35</v>
      </c>
      <c r="E115" t="s">
        <v>27</v>
      </c>
      <c r="F115" s="9">
        <v>1</v>
      </c>
    </row>
    <row r="116" spans="1:6" x14ac:dyDescent="0.3">
      <c r="A116" s="3" t="s">
        <v>14</v>
      </c>
      <c r="B116" s="3" t="s">
        <v>15</v>
      </c>
      <c r="C116" s="3" t="s">
        <v>48</v>
      </c>
      <c r="D116" s="3">
        <v>35</v>
      </c>
      <c r="E116" t="s">
        <v>52</v>
      </c>
      <c r="F116" s="9">
        <v>3</v>
      </c>
    </row>
    <row r="117" spans="1:6" x14ac:dyDescent="0.3">
      <c r="A117" s="3" t="s">
        <v>14</v>
      </c>
      <c r="B117" s="3" t="s">
        <v>15</v>
      </c>
      <c r="C117" s="3" t="s">
        <v>48</v>
      </c>
      <c r="D117" s="3">
        <v>35</v>
      </c>
      <c r="E117" t="s">
        <v>56</v>
      </c>
      <c r="F117" s="9">
        <v>10</v>
      </c>
    </row>
    <row r="118" spans="1:6" x14ac:dyDescent="0.3">
      <c r="A118" s="3" t="s">
        <v>14</v>
      </c>
      <c r="B118" s="3" t="s">
        <v>15</v>
      </c>
      <c r="C118" s="3" t="s">
        <v>48</v>
      </c>
      <c r="D118" s="3">
        <v>35</v>
      </c>
      <c r="E118" t="s">
        <v>34</v>
      </c>
      <c r="F118" s="9">
        <v>5</v>
      </c>
    </row>
    <row r="119" spans="1:6" x14ac:dyDescent="0.3">
      <c r="A119" s="4" t="s">
        <v>16</v>
      </c>
      <c r="B119" s="3" t="s">
        <v>2</v>
      </c>
      <c r="C119" s="3" t="s">
        <v>48</v>
      </c>
      <c r="D119" s="6">
        <v>269</v>
      </c>
      <c r="E119" s="7" t="s">
        <v>27</v>
      </c>
      <c r="F119" s="9">
        <v>68</v>
      </c>
    </row>
    <row r="120" spans="1:6" x14ac:dyDescent="0.3">
      <c r="A120" s="4" t="s">
        <v>16</v>
      </c>
      <c r="B120" s="3" t="s">
        <v>2</v>
      </c>
      <c r="C120" s="3" t="s">
        <v>48</v>
      </c>
      <c r="D120" s="6">
        <v>269</v>
      </c>
      <c r="E120" t="s">
        <v>26</v>
      </c>
      <c r="F120" s="9">
        <v>53</v>
      </c>
    </row>
    <row r="121" spans="1:6" x14ac:dyDescent="0.3">
      <c r="A121" s="4" t="s">
        <v>16</v>
      </c>
      <c r="B121" s="3" t="s">
        <v>2</v>
      </c>
      <c r="C121" s="3" t="s">
        <v>48</v>
      </c>
      <c r="D121" s="6">
        <v>269</v>
      </c>
      <c r="E121" t="s">
        <v>35</v>
      </c>
      <c r="F121" s="9">
        <v>30</v>
      </c>
    </row>
    <row r="122" spans="1:6" x14ac:dyDescent="0.3">
      <c r="A122" s="4" t="s">
        <v>16</v>
      </c>
      <c r="B122" s="3" t="s">
        <v>2</v>
      </c>
      <c r="C122" s="3" t="s">
        <v>48</v>
      </c>
      <c r="D122" s="6">
        <v>269</v>
      </c>
      <c r="E122" t="s">
        <v>43</v>
      </c>
      <c r="F122" s="9">
        <v>22</v>
      </c>
    </row>
    <row r="123" spans="1:6" x14ac:dyDescent="0.3">
      <c r="A123" s="4" t="s">
        <v>16</v>
      </c>
      <c r="B123" s="3" t="s">
        <v>2</v>
      </c>
      <c r="C123" s="3" t="s">
        <v>48</v>
      </c>
      <c r="D123" s="6">
        <v>269</v>
      </c>
      <c r="E123" t="s">
        <v>53</v>
      </c>
      <c r="F123" s="9">
        <v>22</v>
      </c>
    </row>
    <row r="124" spans="1:6" x14ac:dyDescent="0.3">
      <c r="A124" s="4" t="s">
        <v>16</v>
      </c>
      <c r="B124" s="3" t="s">
        <v>2</v>
      </c>
      <c r="C124" s="3" t="s">
        <v>48</v>
      </c>
      <c r="D124" s="6">
        <v>269</v>
      </c>
      <c r="E124" t="s">
        <v>54</v>
      </c>
      <c r="F124" s="9">
        <v>16</v>
      </c>
    </row>
    <row r="125" spans="1:6" x14ac:dyDescent="0.3">
      <c r="A125" s="4" t="s">
        <v>16</v>
      </c>
      <c r="B125" s="3" t="s">
        <v>2</v>
      </c>
      <c r="C125" s="3" t="s">
        <v>48</v>
      </c>
      <c r="D125" s="6">
        <v>269</v>
      </c>
      <c r="E125" t="s">
        <v>43</v>
      </c>
      <c r="F125" s="9">
        <v>10</v>
      </c>
    </row>
    <row r="126" spans="1:6" x14ac:dyDescent="0.3">
      <c r="A126" s="4" t="s">
        <v>16</v>
      </c>
      <c r="B126" s="3" t="s">
        <v>2</v>
      </c>
      <c r="C126" s="3" t="s">
        <v>48</v>
      </c>
      <c r="D126" s="6">
        <v>269</v>
      </c>
      <c r="E126" t="s">
        <v>36</v>
      </c>
      <c r="F126" s="9">
        <v>8</v>
      </c>
    </row>
    <row r="127" spans="1:6" x14ac:dyDescent="0.3">
      <c r="A127" s="4" t="s">
        <v>16</v>
      </c>
      <c r="B127" s="3" t="s">
        <v>2</v>
      </c>
      <c r="C127" s="3" t="s">
        <v>48</v>
      </c>
      <c r="D127" s="6">
        <v>269</v>
      </c>
      <c r="E127" t="s">
        <v>35</v>
      </c>
      <c r="F127" s="9">
        <v>4</v>
      </c>
    </row>
    <row r="128" spans="1:6" x14ac:dyDescent="0.3">
      <c r="A128" s="4" t="s">
        <v>16</v>
      </c>
      <c r="B128" s="3" t="s">
        <v>2</v>
      </c>
      <c r="C128" s="3" t="s">
        <v>48</v>
      </c>
      <c r="D128" s="6">
        <v>269</v>
      </c>
      <c r="E128" t="s">
        <v>33</v>
      </c>
      <c r="F128" s="9">
        <v>19</v>
      </c>
    </row>
    <row r="129" spans="1:6" x14ac:dyDescent="0.3">
      <c r="A129" s="4" t="s">
        <v>16</v>
      </c>
      <c r="B129" s="3" t="s">
        <v>2</v>
      </c>
      <c r="C129" s="3" t="s">
        <v>48</v>
      </c>
      <c r="D129" s="6">
        <v>269</v>
      </c>
      <c r="E129" t="s">
        <v>32</v>
      </c>
      <c r="F129" s="9">
        <v>2</v>
      </c>
    </row>
    <row r="130" spans="1:6" x14ac:dyDescent="0.3">
      <c r="A130" s="4" t="s">
        <v>16</v>
      </c>
      <c r="B130" s="3" t="s">
        <v>2</v>
      </c>
      <c r="C130" s="3" t="s">
        <v>48</v>
      </c>
      <c r="D130" s="6">
        <v>269</v>
      </c>
      <c r="E130" t="s">
        <v>61</v>
      </c>
      <c r="F130" s="9">
        <v>2</v>
      </c>
    </row>
    <row r="131" spans="1:6" x14ac:dyDescent="0.3">
      <c r="A131" s="4" t="s">
        <v>16</v>
      </c>
      <c r="B131" s="3" t="s">
        <v>2</v>
      </c>
      <c r="C131" s="3" t="s">
        <v>48</v>
      </c>
      <c r="D131" s="6">
        <v>269</v>
      </c>
      <c r="E131" t="s">
        <v>55</v>
      </c>
      <c r="F131" s="9">
        <v>14</v>
      </c>
    </row>
    <row r="132" spans="1:6" x14ac:dyDescent="0.3">
      <c r="A132" s="3" t="s">
        <v>17</v>
      </c>
      <c r="B132" s="3" t="s">
        <v>18</v>
      </c>
      <c r="C132" s="3" t="s">
        <v>48</v>
      </c>
      <c r="D132" s="3">
        <v>63</v>
      </c>
      <c r="E132" t="s">
        <v>24</v>
      </c>
      <c r="F132" s="9">
        <v>55</v>
      </c>
    </row>
    <row r="133" spans="1:6" x14ac:dyDescent="0.3">
      <c r="A133" s="3" t="s">
        <v>17</v>
      </c>
      <c r="B133" s="3" t="s">
        <v>18</v>
      </c>
      <c r="C133" s="3" t="s">
        <v>48</v>
      </c>
      <c r="D133" s="3">
        <v>63</v>
      </c>
      <c r="E133" t="s">
        <v>36</v>
      </c>
      <c r="F133" s="9">
        <v>12</v>
      </c>
    </row>
    <row r="134" spans="1:6" x14ac:dyDescent="0.3">
      <c r="A134" s="3" t="s">
        <v>17</v>
      </c>
      <c r="B134" s="3" t="s">
        <v>18</v>
      </c>
      <c r="C134" s="3" t="s">
        <v>48</v>
      </c>
      <c r="D134" s="3">
        <v>63</v>
      </c>
      <c r="E134" t="s">
        <v>26</v>
      </c>
      <c r="F134" s="9">
        <v>2</v>
      </c>
    </row>
    <row r="135" spans="1:6" x14ac:dyDescent="0.3">
      <c r="A135" s="3" t="s">
        <v>17</v>
      </c>
      <c r="B135" s="3" t="s">
        <v>18</v>
      </c>
      <c r="C135" s="3" t="s">
        <v>48</v>
      </c>
      <c r="D135" s="3">
        <v>63</v>
      </c>
      <c r="E135" t="s">
        <v>35</v>
      </c>
      <c r="F135" s="9">
        <v>16</v>
      </c>
    </row>
    <row r="136" spans="1:6" x14ac:dyDescent="0.3">
      <c r="A136" s="3" t="s">
        <v>17</v>
      </c>
      <c r="B136" s="3" t="s">
        <v>18</v>
      </c>
      <c r="C136" s="3" t="s">
        <v>48</v>
      </c>
      <c r="D136" s="3">
        <v>63</v>
      </c>
      <c r="E136" t="s">
        <v>27</v>
      </c>
      <c r="F136" s="9">
        <v>14</v>
      </c>
    </row>
    <row r="137" spans="1:6" x14ac:dyDescent="0.3">
      <c r="A137" s="3" t="s">
        <v>17</v>
      </c>
      <c r="B137" s="3" t="s">
        <v>18</v>
      </c>
      <c r="C137" s="3" t="s">
        <v>48</v>
      </c>
      <c r="D137" s="3">
        <v>63</v>
      </c>
      <c r="E137" t="s">
        <v>34</v>
      </c>
      <c r="F137" s="9">
        <v>8</v>
      </c>
    </row>
    <row r="138" spans="1:6" x14ac:dyDescent="0.3">
      <c r="A138" s="3" t="s">
        <v>17</v>
      </c>
      <c r="B138" s="3" t="s">
        <v>18</v>
      </c>
      <c r="C138" s="3" t="s">
        <v>48</v>
      </c>
      <c r="D138" s="3">
        <v>63</v>
      </c>
      <c r="E138" t="s">
        <v>43</v>
      </c>
      <c r="F138" s="9">
        <v>3</v>
      </c>
    </row>
    <row r="139" spans="1:6" x14ac:dyDescent="0.3">
      <c r="A139" s="3" t="s">
        <v>17</v>
      </c>
      <c r="B139" s="3" t="s">
        <v>18</v>
      </c>
      <c r="C139" s="3" t="s">
        <v>48</v>
      </c>
      <c r="D139" s="3">
        <v>63</v>
      </c>
      <c r="E139" t="s">
        <v>23</v>
      </c>
      <c r="F139" s="9">
        <v>8</v>
      </c>
    </row>
    <row r="140" spans="1:6" x14ac:dyDescent="0.3">
      <c r="A140" s="3" t="s">
        <v>17</v>
      </c>
      <c r="B140" s="3" t="s">
        <v>18</v>
      </c>
      <c r="C140" s="3" t="s">
        <v>48</v>
      </c>
      <c r="D140" s="3">
        <v>63</v>
      </c>
      <c r="E140" t="s">
        <v>58</v>
      </c>
      <c r="F140" s="9">
        <v>1</v>
      </c>
    </row>
    <row r="141" spans="1:6" x14ac:dyDescent="0.3">
      <c r="A141" s="3" t="s">
        <v>17</v>
      </c>
      <c r="B141" s="3" t="s">
        <v>18</v>
      </c>
      <c r="C141" s="3" t="s">
        <v>48</v>
      </c>
      <c r="D141" s="3">
        <v>63</v>
      </c>
      <c r="E141" t="s">
        <v>44</v>
      </c>
      <c r="F141" s="9">
        <v>5</v>
      </c>
    </row>
    <row r="142" spans="1:6" x14ac:dyDescent="0.3">
      <c r="A142" s="3" t="s">
        <v>17</v>
      </c>
      <c r="B142" s="3" t="s">
        <v>18</v>
      </c>
      <c r="C142" s="3" t="s">
        <v>48</v>
      </c>
      <c r="D142" s="3">
        <v>63</v>
      </c>
      <c r="E142" t="s">
        <v>32</v>
      </c>
      <c r="F142" s="9">
        <v>0</v>
      </c>
    </row>
    <row r="143" spans="1:6" x14ac:dyDescent="0.3">
      <c r="A143" s="3" t="s">
        <v>17</v>
      </c>
      <c r="B143" s="3" t="s">
        <v>18</v>
      </c>
      <c r="C143" s="3" t="s">
        <v>48</v>
      </c>
      <c r="D143" s="3">
        <v>63</v>
      </c>
      <c r="E143" t="s">
        <v>31</v>
      </c>
      <c r="F143" s="9">
        <v>2</v>
      </c>
    </row>
    <row r="144" spans="1:6" x14ac:dyDescent="0.3">
      <c r="A144" s="3" t="s">
        <v>17</v>
      </c>
      <c r="B144" s="3" t="s">
        <v>18</v>
      </c>
      <c r="C144" s="3" t="s">
        <v>48</v>
      </c>
      <c r="D144" s="3">
        <v>63</v>
      </c>
      <c r="E144" t="s">
        <v>22</v>
      </c>
      <c r="F144" s="9">
        <v>0</v>
      </c>
    </row>
    <row r="145" spans="1:6" x14ac:dyDescent="0.3">
      <c r="A145" s="3" t="s">
        <v>17</v>
      </c>
      <c r="B145" s="3" t="s">
        <v>18</v>
      </c>
      <c r="C145" s="3" t="s">
        <v>48</v>
      </c>
      <c r="D145" s="3">
        <v>63</v>
      </c>
      <c r="E145" t="s">
        <v>30</v>
      </c>
      <c r="F145" s="9">
        <v>0</v>
      </c>
    </row>
    <row r="146" spans="1:6" x14ac:dyDescent="0.3">
      <c r="A146" s="3" t="s">
        <v>17</v>
      </c>
      <c r="B146" s="3" t="s">
        <v>18</v>
      </c>
      <c r="C146" s="3" t="s">
        <v>48</v>
      </c>
      <c r="D146" s="3">
        <v>63</v>
      </c>
      <c r="E146" t="s">
        <v>29</v>
      </c>
      <c r="F146" s="9">
        <v>0</v>
      </c>
    </row>
    <row r="147" spans="1:6" x14ac:dyDescent="0.3">
      <c r="A147" s="3" t="s">
        <v>17</v>
      </c>
      <c r="B147" s="3" t="s">
        <v>18</v>
      </c>
      <c r="C147" s="3" t="s">
        <v>48</v>
      </c>
      <c r="D147" s="3">
        <v>63</v>
      </c>
      <c r="E147" t="s">
        <v>28</v>
      </c>
      <c r="F147" s="9">
        <v>0</v>
      </c>
    </row>
    <row r="148" spans="1:6" x14ac:dyDescent="0.3">
      <c r="A148" s="3" t="s">
        <v>19</v>
      </c>
      <c r="B148" s="3" t="s">
        <v>2</v>
      </c>
      <c r="C148" s="3" t="s">
        <v>48</v>
      </c>
      <c r="D148" s="3">
        <v>74</v>
      </c>
      <c r="E148" t="s">
        <v>26</v>
      </c>
      <c r="F148" s="9">
        <v>28</v>
      </c>
    </row>
    <row r="149" spans="1:6" x14ac:dyDescent="0.3">
      <c r="A149" s="3" t="s">
        <v>19</v>
      </c>
      <c r="B149" s="3" t="s">
        <v>2</v>
      </c>
      <c r="C149" s="3" t="s">
        <v>48</v>
      </c>
      <c r="D149" s="3">
        <v>74</v>
      </c>
      <c r="E149" t="s">
        <v>27</v>
      </c>
      <c r="F149" s="9">
        <v>12</v>
      </c>
    </row>
    <row r="150" spans="1:6" x14ac:dyDescent="0.3">
      <c r="A150" s="3" t="s">
        <v>19</v>
      </c>
      <c r="B150" s="3" t="s">
        <v>2</v>
      </c>
      <c r="C150" s="3" t="s">
        <v>48</v>
      </c>
      <c r="D150" s="3">
        <v>74</v>
      </c>
      <c r="E150" t="s">
        <v>34</v>
      </c>
      <c r="F150" s="9">
        <v>12</v>
      </c>
    </row>
    <row r="151" spans="1:6" x14ac:dyDescent="0.3">
      <c r="A151" s="3" t="s">
        <v>19</v>
      </c>
      <c r="B151" s="3" t="s">
        <v>2</v>
      </c>
      <c r="C151" s="3" t="s">
        <v>48</v>
      </c>
      <c r="D151" s="3">
        <v>74</v>
      </c>
      <c r="E151" t="s">
        <v>36</v>
      </c>
      <c r="F151" s="9">
        <v>5</v>
      </c>
    </row>
    <row r="152" spans="1:6" x14ac:dyDescent="0.3">
      <c r="A152" s="3" t="s">
        <v>19</v>
      </c>
      <c r="B152" s="3" t="s">
        <v>2</v>
      </c>
      <c r="C152" s="3" t="s">
        <v>48</v>
      </c>
      <c r="D152" s="3">
        <v>74</v>
      </c>
      <c r="E152" t="s">
        <v>35</v>
      </c>
      <c r="F152" s="9">
        <v>4</v>
      </c>
    </row>
    <row r="153" spans="1:6" x14ac:dyDescent="0.3">
      <c r="A153" s="3" t="s">
        <v>19</v>
      </c>
      <c r="B153" s="3" t="s">
        <v>2</v>
      </c>
      <c r="C153" s="3" t="s">
        <v>48</v>
      </c>
      <c r="D153" s="3">
        <v>74</v>
      </c>
      <c r="E153" t="s">
        <v>43</v>
      </c>
      <c r="F153" s="9">
        <v>3</v>
      </c>
    </row>
    <row r="154" spans="1:6" x14ac:dyDescent="0.3">
      <c r="A154" s="3" t="s">
        <v>19</v>
      </c>
      <c r="B154" s="3" t="s">
        <v>2</v>
      </c>
      <c r="C154" s="3" t="s">
        <v>48</v>
      </c>
      <c r="D154" s="3">
        <v>74</v>
      </c>
      <c r="E154" t="s">
        <v>62</v>
      </c>
      <c r="F154" s="9">
        <v>5</v>
      </c>
    </row>
    <row r="155" spans="1:6" x14ac:dyDescent="0.3">
      <c r="A155" s="3" t="s">
        <v>19</v>
      </c>
      <c r="B155" s="3" t="s">
        <v>2</v>
      </c>
      <c r="C155" s="3" t="s">
        <v>48</v>
      </c>
      <c r="D155" s="3">
        <v>74</v>
      </c>
      <c r="E155" t="s">
        <v>38</v>
      </c>
      <c r="F155" s="9">
        <v>1</v>
      </c>
    </row>
    <row r="156" spans="1:6" x14ac:dyDescent="0.3">
      <c r="A156" s="3" t="s">
        <v>19</v>
      </c>
      <c r="B156" s="3" t="s">
        <v>2</v>
      </c>
      <c r="C156" s="3" t="s">
        <v>48</v>
      </c>
      <c r="D156" s="3">
        <v>74</v>
      </c>
      <c r="E156" t="s">
        <v>63</v>
      </c>
      <c r="F156" s="9">
        <v>2</v>
      </c>
    </row>
    <row r="157" spans="1:6" x14ac:dyDescent="0.3">
      <c r="A157" s="3" t="s">
        <v>19</v>
      </c>
      <c r="B157" s="3" t="s">
        <v>2</v>
      </c>
      <c r="C157" s="3" t="s">
        <v>48</v>
      </c>
      <c r="D157" s="3">
        <v>74</v>
      </c>
      <c r="E157" t="s">
        <v>30</v>
      </c>
      <c r="F157" s="9">
        <v>0</v>
      </c>
    </row>
    <row r="158" spans="1:6" x14ac:dyDescent="0.3">
      <c r="A158" s="3" t="s">
        <v>19</v>
      </c>
      <c r="B158" s="3" t="s">
        <v>2</v>
      </c>
      <c r="C158" s="3" t="s">
        <v>48</v>
      </c>
      <c r="D158" s="3">
        <v>74</v>
      </c>
      <c r="E158" t="s">
        <v>28</v>
      </c>
      <c r="F158" s="9">
        <v>1</v>
      </c>
    </row>
    <row r="159" spans="1:6" x14ac:dyDescent="0.3">
      <c r="A159" s="3" t="s">
        <v>19</v>
      </c>
      <c r="B159" s="3" t="s">
        <v>2</v>
      </c>
      <c r="C159" s="3" t="s">
        <v>48</v>
      </c>
      <c r="D159" s="3">
        <v>74</v>
      </c>
      <c r="E159" t="s">
        <v>22</v>
      </c>
      <c r="F159" s="9">
        <v>0</v>
      </c>
    </row>
    <row r="160" spans="1:6" x14ac:dyDescent="0.3">
      <c r="A160" s="3" t="s">
        <v>19</v>
      </c>
      <c r="B160" s="3" t="s">
        <v>2</v>
      </c>
      <c r="C160" s="3" t="s">
        <v>48</v>
      </c>
      <c r="D160" s="3">
        <v>74</v>
      </c>
      <c r="E160" t="s">
        <v>31</v>
      </c>
      <c r="F160" s="9">
        <v>0</v>
      </c>
    </row>
    <row r="161" spans="1:6" x14ac:dyDescent="0.3">
      <c r="A161" s="3" t="s">
        <v>19</v>
      </c>
      <c r="B161" s="3" t="s">
        <v>2</v>
      </c>
      <c r="C161" s="3" t="s">
        <v>48</v>
      </c>
      <c r="D161" s="3">
        <v>74</v>
      </c>
      <c r="E161" t="s">
        <v>64</v>
      </c>
      <c r="F161" s="9">
        <v>1</v>
      </c>
    </row>
    <row r="162" spans="1:6" x14ac:dyDescent="0.3">
      <c r="A162" s="3" t="s">
        <v>20</v>
      </c>
      <c r="B162" s="3" t="s">
        <v>21</v>
      </c>
      <c r="C162" s="3" t="s">
        <v>48</v>
      </c>
      <c r="D162" s="3">
        <v>27</v>
      </c>
      <c r="E162" t="s">
        <v>22</v>
      </c>
      <c r="F162" s="9">
        <v>6</v>
      </c>
    </row>
    <row r="163" spans="1:6" x14ac:dyDescent="0.3">
      <c r="A163" s="3" t="s">
        <v>20</v>
      </c>
      <c r="B163" s="3" t="s">
        <v>21</v>
      </c>
      <c r="C163" s="3" t="s">
        <v>48</v>
      </c>
      <c r="D163" s="3">
        <v>27</v>
      </c>
      <c r="E163" t="s">
        <v>24</v>
      </c>
      <c r="F163" s="9">
        <v>14</v>
      </c>
    </row>
    <row r="164" spans="1:6" x14ac:dyDescent="0.3">
      <c r="A164" s="3" t="s">
        <v>20</v>
      </c>
      <c r="B164" s="3" t="s">
        <v>21</v>
      </c>
      <c r="C164" s="3" t="s">
        <v>48</v>
      </c>
      <c r="D164" s="3">
        <v>27</v>
      </c>
      <c r="E164" t="s">
        <v>23</v>
      </c>
      <c r="F164" s="9">
        <v>7</v>
      </c>
    </row>
    <row r="165" spans="1:6" x14ac:dyDescent="0.3">
      <c r="A165" s="3" t="s">
        <v>20</v>
      </c>
      <c r="B165" s="3" t="s">
        <v>21</v>
      </c>
      <c r="C165" s="3" t="s">
        <v>48</v>
      </c>
      <c r="D165" s="3">
        <v>27</v>
      </c>
      <c r="E165" t="s">
        <v>29</v>
      </c>
      <c r="F165" s="9">
        <v>3</v>
      </c>
    </row>
    <row r="166" spans="1:6" x14ac:dyDescent="0.3">
      <c r="A166" s="3" t="s">
        <v>20</v>
      </c>
      <c r="B166" s="3" t="s">
        <v>21</v>
      </c>
      <c r="C166" s="3" t="s">
        <v>48</v>
      </c>
      <c r="D166" s="3">
        <v>27</v>
      </c>
      <c r="E166" t="s">
        <v>56</v>
      </c>
      <c r="F166" s="9">
        <v>6</v>
      </c>
    </row>
    <row r="167" spans="1:6" x14ac:dyDescent="0.3">
      <c r="A167" s="3" t="s">
        <v>20</v>
      </c>
      <c r="B167" s="3" t="s">
        <v>21</v>
      </c>
      <c r="C167" s="3" t="s">
        <v>48</v>
      </c>
      <c r="D167" s="3">
        <v>27</v>
      </c>
      <c r="E167" t="s">
        <v>27</v>
      </c>
      <c r="F167" s="9">
        <v>5</v>
      </c>
    </row>
    <row r="168" spans="1:6" x14ac:dyDescent="0.3">
      <c r="A168" s="3" t="s">
        <v>20</v>
      </c>
      <c r="B168" s="3" t="s">
        <v>21</v>
      </c>
      <c r="C168" s="3" t="s">
        <v>48</v>
      </c>
      <c r="D168" s="3">
        <v>27</v>
      </c>
      <c r="E168" t="s">
        <v>26</v>
      </c>
      <c r="F168" s="9">
        <v>3</v>
      </c>
    </row>
    <row r="169" spans="1:6" x14ac:dyDescent="0.3">
      <c r="A169" s="3" t="s">
        <v>20</v>
      </c>
      <c r="B169" s="3" t="s">
        <v>21</v>
      </c>
      <c r="C169" s="3" t="s">
        <v>48</v>
      </c>
      <c r="D169" s="3">
        <v>27</v>
      </c>
      <c r="E169" t="s">
        <v>36</v>
      </c>
      <c r="F169" s="9">
        <v>3</v>
      </c>
    </row>
    <row r="170" spans="1:6" x14ac:dyDescent="0.3">
      <c r="A170" s="3" t="s">
        <v>182</v>
      </c>
      <c r="B170" s="3" t="s">
        <v>183</v>
      </c>
      <c r="C170" s="3" t="s">
        <v>48</v>
      </c>
      <c r="D170" s="3">
        <v>32</v>
      </c>
      <c r="E170" s="7" t="s">
        <v>58</v>
      </c>
      <c r="F170" s="16">
        <v>1</v>
      </c>
    </row>
    <row r="171" spans="1:6" x14ac:dyDescent="0.3">
      <c r="A171" s="3" t="s">
        <v>182</v>
      </c>
      <c r="B171" s="3" t="s">
        <v>183</v>
      </c>
      <c r="C171" s="3" t="s">
        <v>48</v>
      </c>
      <c r="D171" s="3">
        <v>32</v>
      </c>
      <c r="E171" s="7" t="s">
        <v>26</v>
      </c>
      <c r="F171" s="16">
        <v>3</v>
      </c>
    </row>
    <row r="172" spans="1:6" x14ac:dyDescent="0.3">
      <c r="A172" s="3" t="s">
        <v>182</v>
      </c>
      <c r="B172" s="3" t="s">
        <v>183</v>
      </c>
      <c r="C172" s="3" t="s">
        <v>48</v>
      </c>
      <c r="D172" s="3">
        <v>32</v>
      </c>
      <c r="E172" s="7" t="s">
        <v>29</v>
      </c>
      <c r="F172" s="16">
        <v>2</v>
      </c>
    </row>
    <row r="173" spans="1:6" x14ac:dyDescent="0.3">
      <c r="A173" s="3" t="s">
        <v>182</v>
      </c>
      <c r="B173" s="3" t="s">
        <v>183</v>
      </c>
      <c r="C173" s="3" t="s">
        <v>48</v>
      </c>
      <c r="D173" s="3">
        <v>32</v>
      </c>
      <c r="E173" s="7" t="s">
        <v>43</v>
      </c>
      <c r="F173" s="16">
        <v>1</v>
      </c>
    </row>
    <row r="174" spans="1:6" x14ac:dyDescent="0.3">
      <c r="A174" s="3" t="s">
        <v>182</v>
      </c>
      <c r="B174" s="3" t="s">
        <v>183</v>
      </c>
      <c r="C174" s="3" t="s">
        <v>48</v>
      </c>
      <c r="D174" s="3">
        <v>32</v>
      </c>
      <c r="E174" s="7" t="s">
        <v>27</v>
      </c>
      <c r="F174" s="16">
        <v>5</v>
      </c>
    </row>
    <row r="175" spans="1:6" x14ac:dyDescent="0.3">
      <c r="A175" s="3" t="s">
        <v>182</v>
      </c>
      <c r="B175" s="3" t="s">
        <v>183</v>
      </c>
      <c r="C175" s="3" t="s">
        <v>48</v>
      </c>
      <c r="D175" s="3">
        <v>32</v>
      </c>
      <c r="E175" s="7" t="s">
        <v>56</v>
      </c>
      <c r="F175" s="16">
        <v>5</v>
      </c>
    </row>
    <row r="176" spans="1:6" x14ac:dyDescent="0.3">
      <c r="A176" s="3" t="s">
        <v>182</v>
      </c>
      <c r="B176" s="3" t="s">
        <v>183</v>
      </c>
      <c r="C176" s="3" t="s">
        <v>48</v>
      </c>
      <c r="D176" s="3">
        <v>32</v>
      </c>
      <c r="E176" s="7" t="s">
        <v>35</v>
      </c>
      <c r="F176" s="16">
        <v>6</v>
      </c>
    </row>
    <row r="177" spans="1:6" x14ac:dyDescent="0.3">
      <c r="A177" s="3" t="s">
        <v>182</v>
      </c>
      <c r="B177" s="3" t="s">
        <v>183</v>
      </c>
      <c r="C177" s="3" t="s">
        <v>48</v>
      </c>
      <c r="D177" s="3">
        <v>32</v>
      </c>
      <c r="E177" s="7" t="s">
        <v>41</v>
      </c>
      <c r="F177" s="16">
        <v>1</v>
      </c>
    </row>
    <row r="178" spans="1:6" x14ac:dyDescent="0.3">
      <c r="A178" s="3" t="s">
        <v>182</v>
      </c>
      <c r="B178" s="3" t="s">
        <v>183</v>
      </c>
      <c r="C178" s="3" t="s">
        <v>48</v>
      </c>
      <c r="D178" s="3">
        <v>32</v>
      </c>
      <c r="E178" t="s">
        <v>59</v>
      </c>
      <c r="F178" s="16">
        <v>5</v>
      </c>
    </row>
    <row r="179" spans="1:6" x14ac:dyDescent="0.3">
      <c r="A179" s="3" t="s">
        <v>182</v>
      </c>
      <c r="B179" s="3" t="s">
        <v>183</v>
      </c>
      <c r="C179" s="3" t="s">
        <v>48</v>
      </c>
      <c r="D179" s="3">
        <v>32</v>
      </c>
      <c r="E179" s="7" t="s">
        <v>30</v>
      </c>
      <c r="F179" s="16">
        <v>3</v>
      </c>
    </row>
    <row r="180" spans="1:6" x14ac:dyDescent="0.3">
      <c r="A180" s="3" t="s">
        <v>184</v>
      </c>
      <c r="B180" s="3" t="s">
        <v>185</v>
      </c>
      <c r="C180" s="3" t="s">
        <v>48</v>
      </c>
      <c r="D180" s="3">
        <v>162</v>
      </c>
      <c r="E180" s="7" t="s">
        <v>64</v>
      </c>
      <c r="F180" s="16">
        <v>14</v>
      </c>
    </row>
    <row r="181" spans="1:6" x14ac:dyDescent="0.3">
      <c r="A181" s="3" t="s">
        <v>184</v>
      </c>
      <c r="B181" s="3" t="s">
        <v>185</v>
      </c>
      <c r="C181" s="3" t="s">
        <v>48</v>
      </c>
      <c r="D181" s="3">
        <v>162</v>
      </c>
      <c r="E181" s="7" t="s">
        <v>213</v>
      </c>
      <c r="F181" s="16">
        <v>24</v>
      </c>
    </row>
    <row r="182" spans="1:6" x14ac:dyDescent="0.3">
      <c r="A182" s="3" t="s">
        <v>184</v>
      </c>
      <c r="B182" s="3" t="s">
        <v>185</v>
      </c>
      <c r="C182" s="3" t="s">
        <v>48</v>
      </c>
      <c r="D182" s="3">
        <v>162</v>
      </c>
      <c r="E182" s="7" t="s">
        <v>23</v>
      </c>
      <c r="F182" s="16">
        <v>3</v>
      </c>
    </row>
    <row r="183" spans="1:6" x14ac:dyDescent="0.3">
      <c r="A183" s="3" t="s">
        <v>184</v>
      </c>
      <c r="B183" s="3" t="s">
        <v>185</v>
      </c>
      <c r="C183" s="3" t="s">
        <v>48</v>
      </c>
      <c r="D183" s="3">
        <v>162</v>
      </c>
      <c r="E183" t="s">
        <v>59</v>
      </c>
      <c r="F183" s="16">
        <v>9</v>
      </c>
    </row>
    <row r="184" spans="1:6" x14ac:dyDescent="0.3">
      <c r="A184" s="3" t="s">
        <v>184</v>
      </c>
      <c r="B184" s="3" t="s">
        <v>185</v>
      </c>
      <c r="C184" s="3" t="s">
        <v>48</v>
      </c>
      <c r="D184" s="3">
        <v>162</v>
      </c>
      <c r="E184" s="7" t="s">
        <v>40</v>
      </c>
      <c r="F184" s="16">
        <v>3</v>
      </c>
    </row>
    <row r="185" spans="1:6" x14ac:dyDescent="0.3">
      <c r="A185" s="3" t="s">
        <v>184</v>
      </c>
      <c r="B185" s="3" t="s">
        <v>185</v>
      </c>
      <c r="C185" s="3" t="s">
        <v>48</v>
      </c>
      <c r="D185" s="3">
        <v>162</v>
      </c>
      <c r="E185" s="7" t="s">
        <v>38</v>
      </c>
      <c r="F185" s="16">
        <v>9</v>
      </c>
    </row>
    <row r="186" spans="1:6" x14ac:dyDescent="0.3">
      <c r="A186" s="3" t="s">
        <v>184</v>
      </c>
      <c r="B186" s="3" t="s">
        <v>185</v>
      </c>
      <c r="C186" s="3" t="s">
        <v>48</v>
      </c>
      <c r="D186" s="3">
        <v>162</v>
      </c>
      <c r="E186" s="7" t="s">
        <v>43</v>
      </c>
      <c r="F186" s="16">
        <v>4</v>
      </c>
    </row>
    <row r="187" spans="1:6" x14ac:dyDescent="0.3">
      <c r="A187" s="3" t="s">
        <v>184</v>
      </c>
      <c r="B187" s="3" t="s">
        <v>185</v>
      </c>
      <c r="C187" s="3" t="s">
        <v>48</v>
      </c>
      <c r="D187" s="3">
        <v>162</v>
      </c>
      <c r="E187" s="7" t="s">
        <v>27</v>
      </c>
      <c r="F187" s="16">
        <v>71</v>
      </c>
    </row>
    <row r="188" spans="1:6" x14ac:dyDescent="0.3">
      <c r="A188" s="3" t="s">
        <v>184</v>
      </c>
      <c r="B188" s="3" t="s">
        <v>185</v>
      </c>
      <c r="C188" s="3" t="s">
        <v>48</v>
      </c>
      <c r="D188" s="3">
        <v>162</v>
      </c>
      <c r="E188" s="7" t="s">
        <v>35</v>
      </c>
      <c r="F188" s="16">
        <v>17</v>
      </c>
    </row>
    <row r="189" spans="1:6" x14ac:dyDescent="0.3">
      <c r="A189" s="3" t="s">
        <v>184</v>
      </c>
      <c r="B189" s="3" t="s">
        <v>185</v>
      </c>
      <c r="C189" s="3" t="s">
        <v>48</v>
      </c>
      <c r="D189" s="3">
        <v>162</v>
      </c>
      <c r="E189" s="7" t="s">
        <v>36</v>
      </c>
      <c r="F189" s="16">
        <v>8</v>
      </c>
    </row>
    <row r="190" spans="1:6" x14ac:dyDescent="0.3">
      <c r="A190" s="3" t="s">
        <v>186</v>
      </c>
      <c r="B190" s="3" t="s">
        <v>187</v>
      </c>
      <c r="C190" s="3" t="s">
        <v>48</v>
      </c>
      <c r="D190" s="3">
        <v>85</v>
      </c>
      <c r="E190" s="29" t="s">
        <v>188</v>
      </c>
      <c r="F190" s="16">
        <v>1</v>
      </c>
    </row>
    <row r="191" spans="1:6" x14ac:dyDescent="0.3">
      <c r="A191" s="3" t="s">
        <v>186</v>
      </c>
      <c r="B191" s="3" t="s">
        <v>187</v>
      </c>
      <c r="C191" s="3" t="s">
        <v>48</v>
      </c>
      <c r="D191" s="3">
        <v>85</v>
      </c>
      <c r="E191" s="29" t="s">
        <v>189</v>
      </c>
      <c r="F191" s="16">
        <v>2</v>
      </c>
    </row>
    <row r="192" spans="1:6" x14ac:dyDescent="0.3">
      <c r="A192" s="3" t="s">
        <v>186</v>
      </c>
      <c r="B192" s="3" t="s">
        <v>187</v>
      </c>
      <c r="C192" s="3" t="s">
        <v>48</v>
      </c>
      <c r="D192" s="3">
        <v>85</v>
      </c>
      <c r="E192" s="29" t="s">
        <v>190</v>
      </c>
      <c r="F192" s="16">
        <v>11</v>
      </c>
    </row>
    <row r="193" spans="1:6" x14ac:dyDescent="0.3">
      <c r="A193" s="3" t="s">
        <v>186</v>
      </c>
      <c r="B193" s="3" t="s">
        <v>187</v>
      </c>
      <c r="C193" s="3" t="s">
        <v>48</v>
      </c>
      <c r="D193" s="3">
        <v>85</v>
      </c>
      <c r="E193" s="29" t="s">
        <v>58</v>
      </c>
      <c r="F193" s="16">
        <v>0</v>
      </c>
    </row>
    <row r="194" spans="1:6" x14ac:dyDescent="0.3">
      <c r="A194" s="3" t="s">
        <v>186</v>
      </c>
      <c r="B194" s="3" t="s">
        <v>187</v>
      </c>
      <c r="C194" s="3" t="s">
        <v>48</v>
      </c>
      <c r="D194" s="3">
        <v>85</v>
      </c>
      <c r="E194" s="29" t="s">
        <v>28</v>
      </c>
      <c r="F194" s="16">
        <v>2</v>
      </c>
    </row>
    <row r="195" spans="1:6" x14ac:dyDescent="0.3">
      <c r="A195" s="3" t="s">
        <v>186</v>
      </c>
      <c r="B195" s="3" t="s">
        <v>187</v>
      </c>
      <c r="C195" s="3" t="s">
        <v>48</v>
      </c>
      <c r="D195" s="3">
        <v>85</v>
      </c>
      <c r="E195" s="29" t="s">
        <v>191</v>
      </c>
      <c r="F195" s="16">
        <v>2</v>
      </c>
    </row>
    <row r="196" spans="1:6" x14ac:dyDescent="0.3">
      <c r="A196" s="3" t="s">
        <v>186</v>
      </c>
      <c r="B196" s="3" t="s">
        <v>187</v>
      </c>
      <c r="C196" s="3" t="s">
        <v>48</v>
      </c>
      <c r="D196" s="3">
        <v>85</v>
      </c>
      <c r="E196" s="29" t="s">
        <v>192</v>
      </c>
      <c r="F196" s="16">
        <v>0</v>
      </c>
    </row>
    <row r="197" spans="1:6" x14ac:dyDescent="0.3">
      <c r="A197" s="3" t="s">
        <v>186</v>
      </c>
      <c r="B197" s="3" t="s">
        <v>187</v>
      </c>
      <c r="C197" s="3" t="s">
        <v>48</v>
      </c>
      <c r="D197" s="3">
        <v>85</v>
      </c>
      <c r="E197" s="29" t="s">
        <v>193</v>
      </c>
      <c r="F197" s="16">
        <v>16</v>
      </c>
    </row>
    <row r="198" spans="1:6" x14ac:dyDescent="0.3">
      <c r="A198" s="3" t="s">
        <v>186</v>
      </c>
      <c r="B198" s="3" t="s">
        <v>187</v>
      </c>
      <c r="C198" s="3" t="s">
        <v>48</v>
      </c>
      <c r="D198" s="3">
        <v>85</v>
      </c>
      <c r="E198" s="29" t="s">
        <v>194</v>
      </c>
      <c r="F198" s="16">
        <v>24</v>
      </c>
    </row>
    <row r="199" spans="1:6" x14ac:dyDescent="0.3">
      <c r="A199" s="3" t="s">
        <v>186</v>
      </c>
      <c r="B199" s="3" t="s">
        <v>187</v>
      </c>
      <c r="C199" s="3" t="s">
        <v>48</v>
      </c>
      <c r="D199" s="3">
        <v>85</v>
      </c>
      <c r="E199" s="29" t="s">
        <v>195</v>
      </c>
      <c r="F199" s="16">
        <v>27</v>
      </c>
    </row>
    <row r="200" spans="1:6" x14ac:dyDescent="0.3">
      <c r="A200" s="3" t="s">
        <v>186</v>
      </c>
      <c r="B200" s="3" t="s">
        <v>187</v>
      </c>
      <c r="C200" s="3" t="s">
        <v>48</v>
      </c>
      <c r="D200" s="3">
        <v>85</v>
      </c>
      <c r="E200" s="29" t="s">
        <v>196</v>
      </c>
      <c r="F200" s="1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1AA1-C7C3-403A-93E8-942DC9685EB0}">
  <dimension ref="A1:F97"/>
  <sheetViews>
    <sheetView topLeftCell="A91" workbookViewId="0">
      <selection activeCell="D45" sqref="D45"/>
    </sheetView>
  </sheetViews>
  <sheetFormatPr defaultRowHeight="14.4" x14ac:dyDescent="0.3"/>
  <cols>
    <col min="1" max="1" width="23.44140625" customWidth="1"/>
    <col min="2" max="2" width="14.5546875" customWidth="1"/>
    <col min="3" max="3" width="12.5546875" customWidth="1"/>
    <col min="4" max="4" width="12.6640625" customWidth="1"/>
    <col min="5" max="5" width="30.21875" customWidth="1"/>
    <col min="6" max="6" width="13" customWidth="1"/>
  </cols>
  <sheetData>
    <row r="1" spans="1:6" x14ac:dyDescent="0.3">
      <c r="A1" s="1" t="s">
        <v>0</v>
      </c>
      <c r="B1" s="1" t="s">
        <v>50</v>
      </c>
      <c r="C1" s="1" t="s">
        <v>46</v>
      </c>
      <c r="D1" s="1" t="s">
        <v>45</v>
      </c>
      <c r="E1" s="1" t="s">
        <v>69</v>
      </c>
      <c r="F1" s="10" t="s">
        <v>51</v>
      </c>
    </row>
    <row r="2" spans="1:6" x14ac:dyDescent="0.3">
      <c r="A2" t="s">
        <v>1</v>
      </c>
      <c r="B2" t="s">
        <v>2</v>
      </c>
      <c r="C2" t="s">
        <v>47</v>
      </c>
      <c r="D2">
        <v>20</v>
      </c>
      <c r="E2" t="s">
        <v>70</v>
      </c>
      <c r="F2">
        <v>8</v>
      </c>
    </row>
    <row r="3" spans="1:6" x14ac:dyDescent="0.3">
      <c r="A3" t="s">
        <v>1</v>
      </c>
      <c r="B3" t="s">
        <v>2</v>
      </c>
      <c r="C3" t="s">
        <v>47</v>
      </c>
      <c r="D3">
        <v>20</v>
      </c>
      <c r="E3" t="s">
        <v>71</v>
      </c>
      <c r="F3">
        <v>4</v>
      </c>
    </row>
    <row r="4" spans="1:6" x14ac:dyDescent="0.3">
      <c r="A4" t="s">
        <v>1</v>
      </c>
      <c r="B4" t="s">
        <v>2</v>
      </c>
      <c r="C4" t="s">
        <v>47</v>
      </c>
      <c r="D4">
        <v>20</v>
      </c>
      <c r="E4" t="s">
        <v>72</v>
      </c>
      <c r="F4">
        <v>4</v>
      </c>
    </row>
    <row r="5" spans="1:6" x14ac:dyDescent="0.3">
      <c r="A5" t="s">
        <v>1</v>
      </c>
      <c r="B5" t="s">
        <v>2</v>
      </c>
      <c r="C5" t="s">
        <v>47</v>
      </c>
      <c r="D5">
        <v>20</v>
      </c>
      <c r="E5" t="s">
        <v>73</v>
      </c>
      <c r="F5">
        <v>4</v>
      </c>
    </row>
    <row r="6" spans="1:6" x14ac:dyDescent="0.3">
      <c r="A6" t="s">
        <v>1</v>
      </c>
      <c r="B6" t="s">
        <v>2</v>
      </c>
      <c r="C6" t="s">
        <v>47</v>
      </c>
      <c r="D6">
        <v>20</v>
      </c>
      <c r="E6" t="s">
        <v>74</v>
      </c>
      <c r="F6">
        <v>0</v>
      </c>
    </row>
    <row r="7" spans="1:6" x14ac:dyDescent="0.3">
      <c r="A7" t="s">
        <v>1</v>
      </c>
      <c r="B7" t="s">
        <v>3</v>
      </c>
      <c r="C7" t="s">
        <v>47</v>
      </c>
      <c r="D7">
        <v>30</v>
      </c>
      <c r="E7" t="s">
        <v>70</v>
      </c>
      <c r="F7">
        <v>4</v>
      </c>
    </row>
    <row r="8" spans="1:6" x14ac:dyDescent="0.3">
      <c r="A8" t="s">
        <v>1</v>
      </c>
      <c r="B8" t="s">
        <v>3</v>
      </c>
      <c r="C8" t="s">
        <v>47</v>
      </c>
      <c r="D8">
        <v>30</v>
      </c>
      <c r="E8" t="s">
        <v>71</v>
      </c>
      <c r="F8">
        <v>5</v>
      </c>
    </row>
    <row r="9" spans="1:6" x14ac:dyDescent="0.3">
      <c r="A9" t="s">
        <v>1</v>
      </c>
      <c r="B9" t="s">
        <v>3</v>
      </c>
      <c r="C9" t="s">
        <v>47</v>
      </c>
      <c r="D9">
        <v>30</v>
      </c>
      <c r="E9" t="s">
        <v>72</v>
      </c>
      <c r="F9">
        <v>15</v>
      </c>
    </row>
    <row r="10" spans="1:6" x14ac:dyDescent="0.3">
      <c r="A10" t="s">
        <v>1</v>
      </c>
      <c r="B10" t="s">
        <v>3</v>
      </c>
      <c r="C10" t="s">
        <v>47</v>
      </c>
      <c r="D10">
        <v>30</v>
      </c>
      <c r="E10" t="s">
        <v>73</v>
      </c>
      <c r="F10">
        <v>2</v>
      </c>
    </row>
    <row r="11" spans="1:6" x14ac:dyDescent="0.3">
      <c r="A11" t="s">
        <v>1</v>
      </c>
      <c r="B11" t="s">
        <v>3</v>
      </c>
      <c r="C11" t="s">
        <v>47</v>
      </c>
      <c r="D11">
        <v>30</v>
      </c>
      <c r="E11" t="s">
        <v>74</v>
      </c>
      <c r="F11">
        <v>4</v>
      </c>
    </row>
    <row r="12" spans="1:6" x14ac:dyDescent="0.3">
      <c r="A12" t="s">
        <v>4</v>
      </c>
      <c r="B12" t="s">
        <v>2</v>
      </c>
      <c r="C12" t="s">
        <v>48</v>
      </c>
      <c r="D12">
        <v>619</v>
      </c>
      <c r="E12" t="s">
        <v>75</v>
      </c>
      <c r="F12">
        <v>169</v>
      </c>
    </row>
    <row r="13" spans="1:6" x14ac:dyDescent="0.3">
      <c r="A13" t="s">
        <v>4</v>
      </c>
      <c r="B13" t="s">
        <v>2</v>
      </c>
      <c r="C13" t="s">
        <v>48</v>
      </c>
      <c r="D13">
        <v>619</v>
      </c>
      <c r="E13" t="s">
        <v>76</v>
      </c>
      <c r="F13">
        <v>158</v>
      </c>
    </row>
    <row r="14" spans="1:6" x14ac:dyDescent="0.3">
      <c r="A14" t="s">
        <v>4</v>
      </c>
      <c r="B14" t="s">
        <v>2</v>
      </c>
      <c r="C14" t="s">
        <v>48</v>
      </c>
      <c r="D14">
        <v>619</v>
      </c>
      <c r="E14" t="s">
        <v>77</v>
      </c>
      <c r="F14">
        <v>101</v>
      </c>
    </row>
    <row r="15" spans="1:6" x14ac:dyDescent="0.3">
      <c r="A15" t="s">
        <v>4</v>
      </c>
      <c r="B15" t="s">
        <v>2</v>
      </c>
      <c r="C15" t="s">
        <v>48</v>
      </c>
      <c r="D15">
        <v>619</v>
      </c>
      <c r="E15" t="s">
        <v>78</v>
      </c>
      <c r="F15">
        <v>35</v>
      </c>
    </row>
    <row r="16" spans="1:6" x14ac:dyDescent="0.3">
      <c r="A16" t="s">
        <v>4</v>
      </c>
      <c r="B16" t="s">
        <v>2</v>
      </c>
      <c r="C16" t="s">
        <v>48</v>
      </c>
      <c r="D16">
        <v>619</v>
      </c>
      <c r="E16" t="s">
        <v>79</v>
      </c>
      <c r="F16">
        <v>37</v>
      </c>
    </row>
    <row r="17" spans="1:6" x14ac:dyDescent="0.3">
      <c r="A17" t="s">
        <v>4</v>
      </c>
      <c r="B17" t="s">
        <v>2</v>
      </c>
      <c r="C17" t="s">
        <v>48</v>
      </c>
      <c r="D17">
        <v>619</v>
      </c>
      <c r="E17" t="s">
        <v>80</v>
      </c>
      <c r="F17">
        <v>27</v>
      </c>
    </row>
    <row r="18" spans="1:6" x14ac:dyDescent="0.3">
      <c r="A18" t="s">
        <v>4</v>
      </c>
      <c r="B18" t="s">
        <v>2</v>
      </c>
      <c r="C18" t="s">
        <v>48</v>
      </c>
      <c r="D18">
        <v>619</v>
      </c>
      <c r="E18" t="s">
        <v>81</v>
      </c>
      <c r="F18">
        <v>20</v>
      </c>
    </row>
    <row r="19" spans="1:6" x14ac:dyDescent="0.3">
      <c r="A19" t="s">
        <v>4</v>
      </c>
      <c r="B19" t="s">
        <v>2</v>
      </c>
      <c r="C19" t="s">
        <v>48</v>
      </c>
      <c r="D19">
        <v>619</v>
      </c>
      <c r="E19" t="s">
        <v>82</v>
      </c>
      <c r="F19">
        <v>6</v>
      </c>
    </row>
    <row r="20" spans="1:6" x14ac:dyDescent="0.3">
      <c r="A20" t="s">
        <v>4</v>
      </c>
      <c r="B20" t="s">
        <v>2</v>
      </c>
      <c r="C20" t="s">
        <v>48</v>
      </c>
      <c r="D20">
        <v>619</v>
      </c>
      <c r="E20" t="s">
        <v>83</v>
      </c>
      <c r="F20">
        <v>6</v>
      </c>
    </row>
    <row r="21" spans="1:6" x14ac:dyDescent="0.3">
      <c r="A21" t="s">
        <v>4</v>
      </c>
      <c r="B21" t="s">
        <v>2</v>
      </c>
      <c r="C21" t="s">
        <v>48</v>
      </c>
      <c r="D21">
        <v>619</v>
      </c>
      <c r="E21" t="s">
        <v>84</v>
      </c>
      <c r="F21">
        <v>2</v>
      </c>
    </row>
    <row r="22" spans="1:6" x14ac:dyDescent="0.3">
      <c r="A22" t="s">
        <v>4</v>
      </c>
      <c r="B22" t="s">
        <v>2</v>
      </c>
      <c r="C22" t="s">
        <v>48</v>
      </c>
      <c r="D22">
        <v>619</v>
      </c>
      <c r="E22" t="s">
        <v>85</v>
      </c>
      <c r="F22">
        <v>48</v>
      </c>
    </row>
    <row r="23" spans="1:6" x14ac:dyDescent="0.3">
      <c r="A23" t="s">
        <v>4</v>
      </c>
      <c r="B23" t="s">
        <v>2</v>
      </c>
      <c r="C23" t="s">
        <v>48</v>
      </c>
      <c r="D23">
        <v>619</v>
      </c>
      <c r="E23" t="s">
        <v>86</v>
      </c>
      <c r="F23">
        <v>19</v>
      </c>
    </row>
    <row r="24" spans="1:6" x14ac:dyDescent="0.3">
      <c r="A24" t="s">
        <v>6</v>
      </c>
      <c r="B24" t="s">
        <v>7</v>
      </c>
      <c r="C24" t="s">
        <v>48</v>
      </c>
      <c r="D24" s="3">
        <v>66</v>
      </c>
      <c r="E24" t="s">
        <v>87</v>
      </c>
      <c r="F24">
        <v>0</v>
      </c>
    </row>
    <row r="25" spans="1:6" x14ac:dyDescent="0.3">
      <c r="A25" t="s">
        <v>6</v>
      </c>
      <c r="B25" t="s">
        <v>7</v>
      </c>
      <c r="C25" t="s">
        <v>48</v>
      </c>
      <c r="D25" s="3">
        <v>66</v>
      </c>
      <c r="E25" t="s">
        <v>88</v>
      </c>
      <c r="F25">
        <v>3</v>
      </c>
    </row>
    <row r="26" spans="1:6" x14ac:dyDescent="0.3">
      <c r="A26" t="s">
        <v>6</v>
      </c>
      <c r="B26" t="s">
        <v>7</v>
      </c>
      <c r="C26" t="s">
        <v>48</v>
      </c>
      <c r="D26" s="3">
        <v>66</v>
      </c>
      <c r="E26" t="s">
        <v>89</v>
      </c>
      <c r="F26">
        <v>1</v>
      </c>
    </row>
    <row r="27" spans="1:6" x14ac:dyDescent="0.3">
      <c r="A27" t="s">
        <v>6</v>
      </c>
      <c r="B27" t="s">
        <v>7</v>
      </c>
      <c r="C27" t="s">
        <v>48</v>
      </c>
      <c r="D27" s="3">
        <v>66</v>
      </c>
      <c r="E27" t="s">
        <v>90</v>
      </c>
      <c r="F27">
        <v>1</v>
      </c>
    </row>
    <row r="28" spans="1:6" x14ac:dyDescent="0.3">
      <c r="A28" t="s">
        <v>6</v>
      </c>
      <c r="B28" t="s">
        <v>7</v>
      </c>
      <c r="C28" t="s">
        <v>48</v>
      </c>
      <c r="D28" s="3">
        <v>66</v>
      </c>
      <c r="E28" t="s">
        <v>91</v>
      </c>
      <c r="F28">
        <v>43</v>
      </c>
    </row>
    <row r="29" spans="1:6" x14ac:dyDescent="0.3">
      <c r="A29" t="s">
        <v>6</v>
      </c>
      <c r="B29" t="s">
        <v>7</v>
      </c>
      <c r="C29" t="s">
        <v>48</v>
      </c>
      <c r="D29" s="3">
        <v>66</v>
      </c>
      <c r="E29" t="s">
        <v>92</v>
      </c>
      <c r="F29">
        <v>2</v>
      </c>
    </row>
    <row r="30" spans="1:6" x14ac:dyDescent="0.3">
      <c r="A30" t="s">
        <v>6</v>
      </c>
      <c r="B30" t="s">
        <v>7</v>
      </c>
      <c r="C30" t="s">
        <v>48</v>
      </c>
      <c r="D30" s="3">
        <v>66</v>
      </c>
      <c r="E30" t="s">
        <v>93</v>
      </c>
      <c r="F30">
        <v>8</v>
      </c>
    </row>
    <row r="31" spans="1:6" x14ac:dyDescent="0.3">
      <c r="A31" t="s">
        <v>6</v>
      </c>
      <c r="B31" t="s">
        <v>7</v>
      </c>
      <c r="C31" t="s">
        <v>48</v>
      </c>
      <c r="D31" s="3">
        <v>66</v>
      </c>
      <c r="E31" t="s">
        <v>94</v>
      </c>
      <c r="F31">
        <v>6</v>
      </c>
    </row>
    <row r="32" spans="1:6" x14ac:dyDescent="0.3">
      <c r="A32" s="3" t="s">
        <v>9</v>
      </c>
      <c r="B32" t="s">
        <v>10</v>
      </c>
      <c r="C32" t="s">
        <v>48</v>
      </c>
      <c r="D32" s="3">
        <v>393</v>
      </c>
      <c r="E32" t="s">
        <v>95</v>
      </c>
      <c r="F32">
        <v>156</v>
      </c>
    </row>
    <row r="33" spans="1:6" x14ac:dyDescent="0.3">
      <c r="A33" s="3" t="s">
        <v>9</v>
      </c>
      <c r="B33" t="s">
        <v>10</v>
      </c>
      <c r="C33" t="s">
        <v>48</v>
      </c>
      <c r="D33" s="3">
        <v>393</v>
      </c>
      <c r="E33" t="s">
        <v>96</v>
      </c>
      <c r="F33">
        <v>146</v>
      </c>
    </row>
    <row r="34" spans="1:6" x14ac:dyDescent="0.3">
      <c r="A34" s="3" t="s">
        <v>9</v>
      </c>
      <c r="B34" t="s">
        <v>10</v>
      </c>
      <c r="C34" t="s">
        <v>48</v>
      </c>
      <c r="D34" s="3">
        <v>393</v>
      </c>
      <c r="E34" t="s">
        <v>97</v>
      </c>
      <c r="F34">
        <v>38</v>
      </c>
    </row>
    <row r="35" spans="1:6" x14ac:dyDescent="0.3">
      <c r="A35" s="3" t="s">
        <v>9</v>
      </c>
      <c r="B35" t="s">
        <v>10</v>
      </c>
      <c r="C35" t="s">
        <v>48</v>
      </c>
      <c r="D35" s="3">
        <v>393</v>
      </c>
      <c r="E35" t="s">
        <v>77</v>
      </c>
      <c r="F35">
        <v>14</v>
      </c>
    </row>
    <row r="36" spans="1:6" x14ac:dyDescent="0.3">
      <c r="A36" s="3" t="s">
        <v>9</v>
      </c>
      <c r="B36" t="s">
        <v>10</v>
      </c>
      <c r="C36" t="s">
        <v>48</v>
      </c>
      <c r="D36" s="3">
        <v>393</v>
      </c>
      <c r="E36" t="s">
        <v>98</v>
      </c>
      <c r="F36">
        <v>8</v>
      </c>
    </row>
    <row r="37" spans="1:6" x14ac:dyDescent="0.3">
      <c r="A37" s="3" t="s">
        <v>9</v>
      </c>
      <c r="B37" t="s">
        <v>10</v>
      </c>
      <c r="C37" t="s">
        <v>48</v>
      </c>
      <c r="D37" s="3">
        <v>393</v>
      </c>
      <c r="E37" t="s">
        <v>99</v>
      </c>
      <c r="F37">
        <v>7</v>
      </c>
    </row>
    <row r="38" spans="1:6" x14ac:dyDescent="0.3">
      <c r="A38" s="3" t="s">
        <v>9</v>
      </c>
      <c r="B38" t="s">
        <v>10</v>
      </c>
      <c r="C38" t="s">
        <v>48</v>
      </c>
      <c r="D38" s="3">
        <v>393</v>
      </c>
      <c r="E38" t="s">
        <v>100</v>
      </c>
      <c r="F38">
        <v>6</v>
      </c>
    </row>
    <row r="39" spans="1:6" x14ac:dyDescent="0.3">
      <c r="A39" s="3" t="s">
        <v>9</v>
      </c>
      <c r="B39" t="s">
        <v>10</v>
      </c>
      <c r="C39" t="s">
        <v>48</v>
      </c>
      <c r="D39" s="3">
        <v>393</v>
      </c>
      <c r="E39" t="s">
        <v>101</v>
      </c>
      <c r="F39">
        <v>5</v>
      </c>
    </row>
    <row r="40" spans="1:6" x14ac:dyDescent="0.3">
      <c r="A40" s="3" t="s">
        <v>9</v>
      </c>
      <c r="B40" t="s">
        <v>10</v>
      </c>
      <c r="C40" t="s">
        <v>48</v>
      </c>
      <c r="D40" s="3">
        <v>393</v>
      </c>
      <c r="E40" t="s">
        <v>102</v>
      </c>
      <c r="F40">
        <v>14</v>
      </c>
    </row>
    <row r="41" spans="1:6" x14ac:dyDescent="0.3">
      <c r="A41" s="3" t="s">
        <v>11</v>
      </c>
      <c r="B41" t="s">
        <v>10</v>
      </c>
      <c r="C41" s="3" t="s">
        <v>48</v>
      </c>
      <c r="D41" s="3">
        <v>203</v>
      </c>
      <c r="E41" t="s">
        <v>103</v>
      </c>
      <c r="F41">
        <v>85</v>
      </c>
    </row>
    <row r="42" spans="1:6" x14ac:dyDescent="0.3">
      <c r="A42" s="3" t="s">
        <v>11</v>
      </c>
      <c r="B42" t="s">
        <v>10</v>
      </c>
      <c r="C42" s="3" t="s">
        <v>48</v>
      </c>
      <c r="D42" s="3">
        <v>203</v>
      </c>
      <c r="E42" t="s">
        <v>104</v>
      </c>
      <c r="F42">
        <v>41</v>
      </c>
    </row>
    <row r="43" spans="1:6" x14ac:dyDescent="0.3">
      <c r="A43" s="3" t="s">
        <v>11</v>
      </c>
      <c r="B43" t="s">
        <v>10</v>
      </c>
      <c r="C43" s="3" t="s">
        <v>48</v>
      </c>
      <c r="D43" s="3">
        <v>203</v>
      </c>
      <c r="E43" t="s">
        <v>105</v>
      </c>
      <c r="F43">
        <v>35</v>
      </c>
    </row>
    <row r="44" spans="1:6" x14ac:dyDescent="0.3">
      <c r="A44" s="3" t="s">
        <v>11</v>
      </c>
      <c r="B44" t="s">
        <v>10</v>
      </c>
      <c r="C44" s="3" t="s">
        <v>48</v>
      </c>
      <c r="D44" s="3">
        <v>203</v>
      </c>
      <c r="E44" t="s">
        <v>97</v>
      </c>
      <c r="F44">
        <v>15</v>
      </c>
    </row>
    <row r="45" spans="1:6" x14ac:dyDescent="0.3">
      <c r="A45" s="3" t="s">
        <v>11</v>
      </c>
      <c r="B45" t="s">
        <v>10</v>
      </c>
      <c r="C45" s="3" t="s">
        <v>48</v>
      </c>
      <c r="D45" s="3">
        <v>203</v>
      </c>
      <c r="E45" t="s">
        <v>77</v>
      </c>
      <c r="F45">
        <v>9</v>
      </c>
    </row>
    <row r="46" spans="1:6" x14ac:dyDescent="0.3">
      <c r="A46" s="3" t="s">
        <v>11</v>
      </c>
      <c r="B46" t="s">
        <v>10</v>
      </c>
      <c r="C46" s="3" t="s">
        <v>48</v>
      </c>
      <c r="D46" s="3">
        <v>203</v>
      </c>
      <c r="E46" t="s">
        <v>106</v>
      </c>
      <c r="F46">
        <v>3</v>
      </c>
    </row>
    <row r="47" spans="1:6" x14ac:dyDescent="0.3">
      <c r="A47" s="3" t="s">
        <v>11</v>
      </c>
      <c r="B47" t="s">
        <v>10</v>
      </c>
      <c r="C47" s="3" t="s">
        <v>48</v>
      </c>
      <c r="D47" s="3">
        <v>203</v>
      </c>
      <c r="E47" t="s">
        <v>107</v>
      </c>
      <c r="F47">
        <v>3</v>
      </c>
    </row>
    <row r="48" spans="1:6" x14ac:dyDescent="0.3">
      <c r="A48" s="3" t="s">
        <v>11</v>
      </c>
      <c r="B48" t="s">
        <v>10</v>
      </c>
      <c r="C48" s="3" t="s">
        <v>48</v>
      </c>
      <c r="D48" s="3">
        <v>203</v>
      </c>
      <c r="E48" t="s">
        <v>108</v>
      </c>
      <c r="F48">
        <v>3</v>
      </c>
    </row>
    <row r="49" spans="1:6" x14ac:dyDescent="0.3">
      <c r="A49" s="3" t="s">
        <v>11</v>
      </c>
      <c r="B49" t="s">
        <v>10</v>
      </c>
      <c r="C49" s="3" t="s">
        <v>48</v>
      </c>
      <c r="D49" s="3">
        <v>203</v>
      </c>
      <c r="E49" t="s">
        <v>102</v>
      </c>
      <c r="F49">
        <v>2</v>
      </c>
    </row>
    <row r="50" spans="1:6" x14ac:dyDescent="0.3">
      <c r="A50" s="3" t="s">
        <v>11</v>
      </c>
      <c r="B50" t="s">
        <v>10</v>
      </c>
      <c r="C50" s="3" t="s">
        <v>48</v>
      </c>
      <c r="D50" s="3">
        <v>203</v>
      </c>
      <c r="E50" t="s">
        <v>109</v>
      </c>
      <c r="F50">
        <v>1</v>
      </c>
    </row>
    <row r="51" spans="1:6" x14ac:dyDescent="0.3">
      <c r="A51" s="3" t="s">
        <v>11</v>
      </c>
      <c r="B51" t="s">
        <v>10</v>
      </c>
      <c r="C51" s="3" t="s">
        <v>48</v>
      </c>
      <c r="D51" s="3">
        <v>203</v>
      </c>
      <c r="E51" t="s">
        <v>84</v>
      </c>
      <c r="F51">
        <v>1</v>
      </c>
    </row>
    <row r="52" spans="1:6" x14ac:dyDescent="0.3">
      <c r="A52" s="3" t="s">
        <v>11</v>
      </c>
      <c r="B52" t="s">
        <v>10</v>
      </c>
      <c r="C52" s="3" t="s">
        <v>48</v>
      </c>
      <c r="D52" s="3">
        <v>203</v>
      </c>
      <c r="E52" t="s">
        <v>110</v>
      </c>
      <c r="F52">
        <v>1</v>
      </c>
    </row>
    <row r="53" spans="1:6" x14ac:dyDescent="0.3">
      <c r="A53" s="3" t="s">
        <v>11</v>
      </c>
      <c r="B53" t="s">
        <v>10</v>
      </c>
      <c r="C53" s="3" t="s">
        <v>48</v>
      </c>
      <c r="D53" s="3">
        <v>203</v>
      </c>
      <c r="E53" t="s">
        <v>111</v>
      </c>
      <c r="F53">
        <v>1</v>
      </c>
    </row>
    <row r="54" spans="1:6" x14ac:dyDescent="0.3">
      <c r="A54" s="3" t="s">
        <v>11</v>
      </c>
      <c r="B54" t="s">
        <v>10</v>
      </c>
      <c r="C54" s="3" t="s">
        <v>48</v>
      </c>
      <c r="D54" s="3">
        <v>203</v>
      </c>
      <c r="E54" t="s">
        <v>112</v>
      </c>
      <c r="F54">
        <v>1</v>
      </c>
    </row>
    <row r="55" spans="1:6" x14ac:dyDescent="0.3">
      <c r="A55" s="3" t="s">
        <v>11</v>
      </c>
      <c r="B55" t="s">
        <v>10</v>
      </c>
      <c r="C55" s="3" t="s">
        <v>48</v>
      </c>
      <c r="D55" s="3">
        <v>203</v>
      </c>
      <c r="E55" t="s">
        <v>55</v>
      </c>
      <c r="F55">
        <v>2</v>
      </c>
    </row>
    <row r="56" spans="1:6" x14ac:dyDescent="0.3">
      <c r="A56" t="s">
        <v>5</v>
      </c>
      <c r="B56" t="s">
        <v>2</v>
      </c>
      <c r="C56" t="s">
        <v>48</v>
      </c>
      <c r="D56" s="3">
        <v>215</v>
      </c>
      <c r="E56" s="12" t="s">
        <v>121</v>
      </c>
      <c r="F56">
        <v>76</v>
      </c>
    </row>
    <row r="57" spans="1:6" x14ac:dyDescent="0.3">
      <c r="A57" t="s">
        <v>5</v>
      </c>
      <c r="B57" t="s">
        <v>2</v>
      </c>
      <c r="C57" t="s">
        <v>48</v>
      </c>
      <c r="D57" s="3">
        <v>215</v>
      </c>
      <c r="E57" s="12" t="s">
        <v>113</v>
      </c>
      <c r="F57">
        <v>28</v>
      </c>
    </row>
    <row r="58" spans="1:6" x14ac:dyDescent="0.3">
      <c r="A58" t="s">
        <v>5</v>
      </c>
      <c r="B58" t="s">
        <v>2</v>
      </c>
      <c r="C58" t="s">
        <v>48</v>
      </c>
      <c r="D58" s="3">
        <v>215</v>
      </c>
      <c r="E58" s="12" t="s">
        <v>77</v>
      </c>
      <c r="F58">
        <v>33</v>
      </c>
    </row>
    <row r="59" spans="1:6" x14ac:dyDescent="0.3">
      <c r="A59" t="s">
        <v>5</v>
      </c>
      <c r="B59" t="s">
        <v>2</v>
      </c>
      <c r="C59" t="s">
        <v>48</v>
      </c>
      <c r="D59" s="3">
        <v>215</v>
      </c>
      <c r="E59" s="12" t="s">
        <v>114</v>
      </c>
      <c r="F59">
        <v>7</v>
      </c>
    </row>
    <row r="60" spans="1:6" x14ac:dyDescent="0.3">
      <c r="A60" t="s">
        <v>5</v>
      </c>
      <c r="B60" t="s">
        <v>2</v>
      </c>
      <c r="C60" t="s">
        <v>48</v>
      </c>
      <c r="D60" s="3">
        <v>215</v>
      </c>
      <c r="E60" s="12" t="s">
        <v>77</v>
      </c>
      <c r="F60">
        <v>54</v>
      </c>
    </row>
    <row r="61" spans="1:6" x14ac:dyDescent="0.3">
      <c r="A61" t="s">
        <v>5</v>
      </c>
      <c r="B61" t="s">
        <v>2</v>
      </c>
      <c r="C61" t="s">
        <v>48</v>
      </c>
      <c r="D61" s="3">
        <v>215</v>
      </c>
      <c r="E61" s="12" t="s">
        <v>121</v>
      </c>
      <c r="F61">
        <v>84</v>
      </c>
    </row>
    <row r="62" spans="1:6" x14ac:dyDescent="0.3">
      <c r="A62" t="s">
        <v>5</v>
      </c>
      <c r="B62" t="s">
        <v>2</v>
      </c>
      <c r="C62" t="s">
        <v>48</v>
      </c>
      <c r="D62" s="3">
        <v>215</v>
      </c>
      <c r="E62" s="12" t="s">
        <v>113</v>
      </c>
      <c r="F62">
        <v>42</v>
      </c>
    </row>
    <row r="63" spans="1:6" x14ac:dyDescent="0.3">
      <c r="A63" t="s">
        <v>5</v>
      </c>
      <c r="B63" t="s">
        <v>2</v>
      </c>
      <c r="C63" t="s">
        <v>48</v>
      </c>
      <c r="D63" s="3">
        <v>215</v>
      </c>
      <c r="E63" s="12" t="s">
        <v>102</v>
      </c>
      <c r="F63">
        <v>29</v>
      </c>
    </row>
    <row r="64" spans="1:6" x14ac:dyDescent="0.3">
      <c r="A64" s="3" t="s">
        <v>13</v>
      </c>
      <c r="B64" s="3" t="s">
        <v>2</v>
      </c>
      <c r="C64" s="3" t="s">
        <v>48</v>
      </c>
      <c r="D64" s="5">
        <v>111</v>
      </c>
      <c r="E64" t="s">
        <v>115</v>
      </c>
      <c r="F64">
        <v>37</v>
      </c>
    </row>
    <row r="65" spans="1:6" x14ac:dyDescent="0.3">
      <c r="A65" s="3" t="s">
        <v>13</v>
      </c>
      <c r="B65" s="3" t="s">
        <v>2</v>
      </c>
      <c r="C65" s="3" t="s">
        <v>48</v>
      </c>
      <c r="D65" s="5">
        <v>111</v>
      </c>
      <c r="E65" t="s">
        <v>122</v>
      </c>
      <c r="F65">
        <v>30</v>
      </c>
    </row>
    <row r="66" spans="1:6" x14ac:dyDescent="0.3">
      <c r="A66" s="3" t="s">
        <v>13</v>
      </c>
      <c r="B66" s="3" t="s">
        <v>2</v>
      </c>
      <c r="C66" s="3" t="s">
        <v>48</v>
      </c>
      <c r="D66" s="5">
        <v>111</v>
      </c>
      <c r="E66" t="s">
        <v>116</v>
      </c>
      <c r="F66">
        <v>19</v>
      </c>
    </row>
    <row r="67" spans="1:6" x14ac:dyDescent="0.3">
      <c r="A67" s="3" t="s">
        <v>13</v>
      </c>
      <c r="B67" s="3" t="s">
        <v>2</v>
      </c>
      <c r="C67" s="3" t="s">
        <v>48</v>
      </c>
      <c r="D67" s="5">
        <v>111</v>
      </c>
      <c r="E67" t="s">
        <v>117</v>
      </c>
      <c r="F67">
        <v>10</v>
      </c>
    </row>
    <row r="68" spans="1:6" x14ac:dyDescent="0.3">
      <c r="A68" s="3" t="s">
        <v>13</v>
      </c>
      <c r="B68" s="3" t="s">
        <v>2</v>
      </c>
      <c r="C68" s="3" t="s">
        <v>48</v>
      </c>
      <c r="D68" s="5">
        <v>111</v>
      </c>
      <c r="E68" t="s">
        <v>81</v>
      </c>
      <c r="F68">
        <v>6</v>
      </c>
    </row>
    <row r="69" spans="1:6" x14ac:dyDescent="0.3">
      <c r="A69" s="3" t="s">
        <v>13</v>
      </c>
      <c r="B69" s="3" t="s">
        <v>2</v>
      </c>
      <c r="C69" s="3" t="s">
        <v>48</v>
      </c>
      <c r="D69" s="5">
        <v>111</v>
      </c>
      <c r="E69" t="s">
        <v>118</v>
      </c>
      <c r="F69">
        <v>5</v>
      </c>
    </row>
    <row r="70" spans="1:6" x14ac:dyDescent="0.3">
      <c r="A70" s="3" t="s">
        <v>13</v>
      </c>
      <c r="B70" s="3" t="s">
        <v>2</v>
      </c>
      <c r="C70" s="3" t="s">
        <v>48</v>
      </c>
      <c r="D70" s="5">
        <v>111</v>
      </c>
      <c r="E70" t="s">
        <v>119</v>
      </c>
      <c r="F70">
        <v>2</v>
      </c>
    </row>
    <row r="71" spans="1:6" x14ac:dyDescent="0.3">
      <c r="A71" s="3" t="s">
        <v>13</v>
      </c>
      <c r="B71" s="3" t="s">
        <v>2</v>
      </c>
      <c r="C71" s="3" t="s">
        <v>48</v>
      </c>
      <c r="D71" s="5">
        <v>111</v>
      </c>
      <c r="E71" t="s">
        <v>120</v>
      </c>
      <c r="F71">
        <v>1</v>
      </c>
    </row>
    <row r="72" spans="1:6" x14ac:dyDescent="0.3">
      <c r="A72" s="3" t="s">
        <v>13</v>
      </c>
      <c r="B72" s="3" t="s">
        <v>2</v>
      </c>
      <c r="C72" s="3" t="s">
        <v>48</v>
      </c>
      <c r="D72" s="5">
        <v>111</v>
      </c>
      <c r="E72" t="s">
        <v>97</v>
      </c>
      <c r="F72">
        <v>1</v>
      </c>
    </row>
    <row r="73" spans="1:6" x14ac:dyDescent="0.3">
      <c r="A73" s="3" t="s">
        <v>12</v>
      </c>
      <c r="B73" s="3" t="s">
        <v>2</v>
      </c>
      <c r="C73" s="3" t="s">
        <v>48</v>
      </c>
      <c r="D73" s="3">
        <v>241</v>
      </c>
      <c r="E73" s="12" t="s">
        <v>77</v>
      </c>
      <c r="F73">
        <v>54</v>
      </c>
    </row>
    <row r="74" spans="1:6" x14ac:dyDescent="0.3">
      <c r="A74" s="3" t="s">
        <v>12</v>
      </c>
      <c r="B74" s="3" t="s">
        <v>2</v>
      </c>
      <c r="C74" s="3" t="s">
        <v>48</v>
      </c>
      <c r="D74" s="3">
        <v>241</v>
      </c>
      <c r="E74" s="12" t="s">
        <v>121</v>
      </c>
      <c r="F74">
        <v>84</v>
      </c>
    </row>
    <row r="75" spans="1:6" x14ac:dyDescent="0.3">
      <c r="A75" s="3" t="s">
        <v>12</v>
      </c>
      <c r="B75" s="3" t="s">
        <v>2</v>
      </c>
      <c r="C75" s="3" t="s">
        <v>48</v>
      </c>
      <c r="D75" s="3">
        <v>241</v>
      </c>
      <c r="E75" s="12" t="s">
        <v>113</v>
      </c>
      <c r="F75">
        <v>42</v>
      </c>
    </row>
    <row r="76" spans="1:6" x14ac:dyDescent="0.3">
      <c r="A76" s="3" t="s">
        <v>12</v>
      </c>
      <c r="B76" s="3" t="s">
        <v>2</v>
      </c>
      <c r="C76" s="3" t="s">
        <v>48</v>
      </c>
      <c r="D76" s="3">
        <v>241</v>
      </c>
      <c r="E76" s="12" t="s">
        <v>102</v>
      </c>
      <c r="F76">
        <v>29</v>
      </c>
    </row>
    <row r="77" spans="1:6" x14ac:dyDescent="0.3">
      <c r="A77" s="3" t="s">
        <v>182</v>
      </c>
      <c r="B77" s="3" t="s">
        <v>183</v>
      </c>
      <c r="C77" s="3" t="s">
        <v>48</v>
      </c>
      <c r="D77" s="3">
        <v>32</v>
      </c>
      <c r="E77" t="s">
        <v>197</v>
      </c>
      <c r="F77">
        <v>2</v>
      </c>
    </row>
    <row r="78" spans="1:6" x14ac:dyDescent="0.3">
      <c r="A78" s="3" t="s">
        <v>182</v>
      </c>
      <c r="B78" s="3" t="s">
        <v>183</v>
      </c>
      <c r="C78" s="3" t="s">
        <v>48</v>
      </c>
      <c r="D78" s="3">
        <v>32</v>
      </c>
      <c r="E78" t="s">
        <v>198</v>
      </c>
      <c r="F78">
        <v>1</v>
      </c>
    </row>
    <row r="79" spans="1:6" x14ac:dyDescent="0.3">
      <c r="A79" s="3" t="s">
        <v>182</v>
      </c>
      <c r="B79" s="3" t="s">
        <v>183</v>
      </c>
      <c r="C79" s="3" t="s">
        <v>48</v>
      </c>
      <c r="D79" s="3">
        <v>32</v>
      </c>
      <c r="E79" t="s">
        <v>199</v>
      </c>
      <c r="F79">
        <v>1</v>
      </c>
    </row>
    <row r="80" spans="1:6" x14ac:dyDescent="0.3">
      <c r="A80" s="3" t="s">
        <v>182</v>
      </c>
      <c r="B80" s="3" t="s">
        <v>183</v>
      </c>
      <c r="C80" s="3" t="s">
        <v>48</v>
      </c>
      <c r="D80" s="3">
        <v>32</v>
      </c>
      <c r="E80" t="s">
        <v>75</v>
      </c>
      <c r="F80">
        <v>5</v>
      </c>
    </row>
    <row r="81" spans="1:6" x14ac:dyDescent="0.3">
      <c r="A81" s="3" t="s">
        <v>182</v>
      </c>
      <c r="B81" s="3" t="s">
        <v>183</v>
      </c>
      <c r="C81" s="3" t="s">
        <v>48</v>
      </c>
      <c r="D81" s="3">
        <v>32</v>
      </c>
      <c r="E81" t="s">
        <v>77</v>
      </c>
      <c r="F81">
        <v>2</v>
      </c>
    </row>
    <row r="82" spans="1:6" x14ac:dyDescent="0.3">
      <c r="A82" s="3" t="s">
        <v>182</v>
      </c>
      <c r="B82" s="3" t="s">
        <v>183</v>
      </c>
      <c r="C82" s="3" t="s">
        <v>48</v>
      </c>
      <c r="D82" s="3">
        <v>32</v>
      </c>
      <c r="E82" t="s">
        <v>76</v>
      </c>
      <c r="F82">
        <v>3</v>
      </c>
    </row>
    <row r="83" spans="1:6" x14ac:dyDescent="0.3">
      <c r="A83" s="3" t="s">
        <v>182</v>
      </c>
      <c r="B83" s="3" t="s">
        <v>183</v>
      </c>
      <c r="C83" s="3" t="s">
        <v>48</v>
      </c>
      <c r="D83" s="3">
        <v>32</v>
      </c>
      <c r="E83" t="s">
        <v>200</v>
      </c>
      <c r="F83">
        <v>4</v>
      </c>
    </row>
    <row r="84" spans="1:6" x14ac:dyDescent="0.3">
      <c r="A84" s="3" t="s">
        <v>182</v>
      </c>
      <c r="B84" s="3" t="s">
        <v>183</v>
      </c>
      <c r="C84" s="3" t="s">
        <v>48</v>
      </c>
      <c r="D84" s="3">
        <v>32</v>
      </c>
      <c r="E84" t="s">
        <v>120</v>
      </c>
      <c r="F84">
        <v>2</v>
      </c>
    </row>
    <row r="85" spans="1:6" x14ac:dyDescent="0.3">
      <c r="A85" s="3" t="s">
        <v>182</v>
      </c>
      <c r="B85" s="3" t="s">
        <v>183</v>
      </c>
      <c r="C85" s="3" t="s">
        <v>48</v>
      </c>
      <c r="D85" s="3">
        <v>32</v>
      </c>
      <c r="E85" t="s">
        <v>201</v>
      </c>
      <c r="F85">
        <v>3</v>
      </c>
    </row>
    <row r="86" spans="1:6" x14ac:dyDescent="0.3">
      <c r="A86" s="3" t="s">
        <v>182</v>
      </c>
      <c r="B86" s="3" t="s">
        <v>183</v>
      </c>
      <c r="C86" s="3" t="s">
        <v>48</v>
      </c>
      <c r="D86" s="3">
        <v>32</v>
      </c>
      <c r="E86" t="s">
        <v>202</v>
      </c>
      <c r="F86">
        <v>5</v>
      </c>
    </row>
    <row r="87" spans="1:6" x14ac:dyDescent="0.3">
      <c r="A87" s="3" t="s">
        <v>182</v>
      </c>
      <c r="B87" s="3" t="s">
        <v>183</v>
      </c>
      <c r="C87" s="3" t="s">
        <v>48</v>
      </c>
      <c r="D87" s="3">
        <v>32</v>
      </c>
      <c r="E87" t="s">
        <v>203</v>
      </c>
      <c r="F87">
        <v>1</v>
      </c>
    </row>
    <row r="88" spans="1:6" x14ac:dyDescent="0.3">
      <c r="A88" s="3" t="s">
        <v>182</v>
      </c>
      <c r="B88" s="3" t="s">
        <v>183</v>
      </c>
      <c r="C88" s="3" t="s">
        <v>48</v>
      </c>
      <c r="D88" s="3">
        <v>32</v>
      </c>
      <c r="E88" t="s">
        <v>78</v>
      </c>
      <c r="F88">
        <v>2</v>
      </c>
    </row>
    <row r="89" spans="1:6" x14ac:dyDescent="0.3">
      <c r="A89" s="3" t="s">
        <v>182</v>
      </c>
      <c r="B89" s="3" t="s">
        <v>183</v>
      </c>
      <c r="C89" s="3" t="s">
        <v>48</v>
      </c>
      <c r="D89" s="3">
        <v>32</v>
      </c>
      <c r="E89" t="s">
        <v>204</v>
      </c>
      <c r="F89">
        <v>1</v>
      </c>
    </row>
    <row r="90" spans="1:6" x14ac:dyDescent="0.3">
      <c r="A90" s="3" t="s">
        <v>186</v>
      </c>
      <c r="B90" s="3" t="s">
        <v>187</v>
      </c>
      <c r="C90" s="3" t="s">
        <v>48</v>
      </c>
      <c r="D90" s="3">
        <v>85</v>
      </c>
      <c r="E90" t="s">
        <v>205</v>
      </c>
      <c r="F90" s="30">
        <v>35</v>
      </c>
    </row>
    <row r="91" spans="1:6" x14ac:dyDescent="0.3">
      <c r="A91" s="3" t="s">
        <v>186</v>
      </c>
      <c r="B91" s="3" t="s">
        <v>187</v>
      </c>
      <c r="C91" s="3" t="s">
        <v>48</v>
      </c>
      <c r="D91" s="3">
        <v>85</v>
      </c>
      <c r="E91" t="s">
        <v>101</v>
      </c>
      <c r="F91" s="30">
        <v>8</v>
      </c>
    </row>
    <row r="92" spans="1:6" x14ac:dyDescent="0.3">
      <c r="A92" s="3" t="s">
        <v>186</v>
      </c>
      <c r="B92" s="3" t="s">
        <v>187</v>
      </c>
      <c r="C92" s="3" t="s">
        <v>48</v>
      </c>
      <c r="D92" s="3">
        <v>85</v>
      </c>
      <c r="E92" t="s">
        <v>206</v>
      </c>
      <c r="F92" s="30">
        <v>38</v>
      </c>
    </row>
    <row r="93" spans="1:6" x14ac:dyDescent="0.3">
      <c r="A93" s="3" t="s">
        <v>186</v>
      </c>
      <c r="B93" s="3" t="s">
        <v>187</v>
      </c>
      <c r="C93" s="3" t="s">
        <v>48</v>
      </c>
      <c r="D93" s="3">
        <v>85</v>
      </c>
      <c r="E93" t="s">
        <v>207</v>
      </c>
      <c r="F93" s="30">
        <v>1</v>
      </c>
    </row>
    <row r="94" spans="1:6" x14ac:dyDescent="0.3">
      <c r="A94" s="3" t="s">
        <v>186</v>
      </c>
      <c r="B94" s="3" t="s">
        <v>187</v>
      </c>
      <c r="C94" s="3" t="s">
        <v>48</v>
      </c>
      <c r="D94" s="3">
        <v>85</v>
      </c>
      <c r="E94" t="s">
        <v>81</v>
      </c>
      <c r="F94" s="30">
        <v>0</v>
      </c>
    </row>
    <row r="95" spans="1:6" x14ac:dyDescent="0.3">
      <c r="A95" s="3" t="s">
        <v>186</v>
      </c>
      <c r="B95" s="3" t="s">
        <v>187</v>
      </c>
      <c r="C95" s="3" t="s">
        <v>48</v>
      </c>
      <c r="D95" s="3">
        <v>85</v>
      </c>
      <c r="E95" t="s">
        <v>84</v>
      </c>
      <c r="F95" s="30">
        <v>1</v>
      </c>
    </row>
    <row r="96" spans="1:6" x14ac:dyDescent="0.3">
      <c r="A96" s="3" t="s">
        <v>186</v>
      </c>
      <c r="B96" s="3" t="s">
        <v>187</v>
      </c>
      <c r="C96" s="3" t="s">
        <v>48</v>
      </c>
      <c r="D96" s="3">
        <v>85</v>
      </c>
      <c r="E96" t="s">
        <v>77</v>
      </c>
      <c r="F96" s="30">
        <v>2</v>
      </c>
    </row>
    <row r="97" spans="1:6" x14ac:dyDescent="0.3">
      <c r="A97" s="3" t="s">
        <v>186</v>
      </c>
      <c r="B97" s="3" t="s">
        <v>187</v>
      </c>
      <c r="C97" s="3" t="s">
        <v>48</v>
      </c>
      <c r="D97" s="3">
        <v>85</v>
      </c>
      <c r="E97" t="s">
        <v>208</v>
      </c>
      <c r="F97" s="30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4B93-FA25-432C-AC58-BEE41427D2C5}">
  <dimension ref="A1:F78"/>
  <sheetViews>
    <sheetView topLeftCell="A67" workbookViewId="0">
      <selection activeCell="A69" sqref="A69:D69"/>
    </sheetView>
  </sheetViews>
  <sheetFormatPr defaultRowHeight="14.4" x14ac:dyDescent="0.3"/>
  <cols>
    <col min="1" max="6" width="20.6640625" customWidth="1"/>
  </cols>
  <sheetData>
    <row r="1" spans="1:6" x14ac:dyDescent="0.3">
      <c r="A1" s="1" t="s">
        <v>0</v>
      </c>
      <c r="B1" s="1" t="s">
        <v>50</v>
      </c>
      <c r="C1" s="1" t="s">
        <v>46</v>
      </c>
      <c r="D1" s="1" t="s">
        <v>45</v>
      </c>
      <c r="E1" s="1" t="s">
        <v>123</v>
      </c>
      <c r="F1" s="10" t="s">
        <v>51</v>
      </c>
    </row>
    <row r="2" spans="1:6" x14ac:dyDescent="0.3">
      <c r="A2" t="s">
        <v>1</v>
      </c>
      <c r="B2" t="s">
        <v>2</v>
      </c>
      <c r="C2" t="s">
        <v>47</v>
      </c>
      <c r="D2">
        <v>20</v>
      </c>
      <c r="E2" s="3" t="s">
        <v>124</v>
      </c>
      <c r="F2" s="15">
        <v>6</v>
      </c>
    </row>
    <row r="3" spans="1:6" x14ac:dyDescent="0.3">
      <c r="A3" t="s">
        <v>1</v>
      </c>
      <c r="B3" t="s">
        <v>2</v>
      </c>
      <c r="C3" t="s">
        <v>47</v>
      </c>
      <c r="D3">
        <v>20</v>
      </c>
      <c r="E3" s="3" t="s">
        <v>125</v>
      </c>
      <c r="F3" s="15">
        <v>10</v>
      </c>
    </row>
    <row r="4" spans="1:6" x14ac:dyDescent="0.3">
      <c r="A4" t="s">
        <v>1</v>
      </c>
      <c r="B4" t="s">
        <v>2</v>
      </c>
      <c r="C4" t="s">
        <v>47</v>
      </c>
      <c r="D4">
        <v>20</v>
      </c>
      <c r="E4" s="3" t="s">
        <v>126</v>
      </c>
      <c r="F4" s="15">
        <v>3</v>
      </c>
    </row>
    <row r="5" spans="1:6" x14ac:dyDescent="0.3">
      <c r="A5" t="s">
        <v>1</v>
      </c>
      <c r="B5" t="s">
        <v>2</v>
      </c>
      <c r="C5" t="s">
        <v>47</v>
      </c>
      <c r="D5">
        <v>20</v>
      </c>
      <c r="E5" s="3" t="s">
        <v>127</v>
      </c>
      <c r="F5" s="15">
        <v>1</v>
      </c>
    </row>
    <row r="6" spans="1:6" x14ac:dyDescent="0.3">
      <c r="A6" t="s">
        <v>1</v>
      </c>
      <c r="B6" t="s">
        <v>3</v>
      </c>
      <c r="C6" t="s">
        <v>47</v>
      </c>
      <c r="D6">
        <v>30</v>
      </c>
      <c r="E6" s="3" t="s">
        <v>124</v>
      </c>
      <c r="F6" s="15">
        <v>1</v>
      </c>
    </row>
    <row r="7" spans="1:6" x14ac:dyDescent="0.3">
      <c r="A7" t="s">
        <v>1</v>
      </c>
      <c r="B7" t="s">
        <v>3</v>
      </c>
      <c r="C7" t="s">
        <v>47</v>
      </c>
      <c r="D7">
        <v>30</v>
      </c>
      <c r="E7" s="3" t="s">
        <v>125</v>
      </c>
      <c r="F7" s="15">
        <v>7</v>
      </c>
    </row>
    <row r="8" spans="1:6" x14ac:dyDescent="0.3">
      <c r="A8" t="s">
        <v>1</v>
      </c>
      <c r="B8" t="s">
        <v>3</v>
      </c>
      <c r="C8" t="s">
        <v>47</v>
      </c>
      <c r="D8">
        <v>30</v>
      </c>
      <c r="E8" s="3" t="s">
        <v>126</v>
      </c>
      <c r="F8" s="15">
        <v>1</v>
      </c>
    </row>
    <row r="9" spans="1:6" x14ac:dyDescent="0.3">
      <c r="A9" t="s">
        <v>1</v>
      </c>
      <c r="B9" t="s">
        <v>3</v>
      </c>
      <c r="C9" t="s">
        <v>47</v>
      </c>
      <c r="D9">
        <v>30</v>
      </c>
      <c r="E9" s="3" t="s">
        <v>127</v>
      </c>
      <c r="F9" s="15">
        <v>1</v>
      </c>
    </row>
    <row r="10" spans="1:6" x14ac:dyDescent="0.3">
      <c r="A10" t="s">
        <v>4</v>
      </c>
      <c r="B10" t="s">
        <v>2</v>
      </c>
      <c r="C10" t="s">
        <v>48</v>
      </c>
      <c r="D10">
        <v>619</v>
      </c>
      <c r="E10" t="s">
        <v>124</v>
      </c>
      <c r="F10" s="16">
        <v>321</v>
      </c>
    </row>
    <row r="11" spans="1:6" x14ac:dyDescent="0.3">
      <c r="A11" t="s">
        <v>4</v>
      </c>
      <c r="B11" t="s">
        <v>2</v>
      </c>
      <c r="C11" t="s">
        <v>48</v>
      </c>
      <c r="D11">
        <v>619</v>
      </c>
      <c r="E11" t="s">
        <v>128</v>
      </c>
      <c r="F11" s="16">
        <v>221</v>
      </c>
    </row>
    <row r="12" spans="1:6" x14ac:dyDescent="0.3">
      <c r="A12" t="s">
        <v>4</v>
      </c>
      <c r="B12" t="s">
        <v>2</v>
      </c>
      <c r="C12" t="s">
        <v>48</v>
      </c>
      <c r="D12">
        <v>619</v>
      </c>
      <c r="E12" t="s">
        <v>129</v>
      </c>
      <c r="F12" s="16">
        <v>77</v>
      </c>
    </row>
    <row r="13" spans="1:6" x14ac:dyDescent="0.3">
      <c r="A13" s="3" t="s">
        <v>132</v>
      </c>
      <c r="B13" t="s">
        <v>2</v>
      </c>
      <c r="C13" t="s">
        <v>48</v>
      </c>
      <c r="D13" s="3">
        <v>326</v>
      </c>
      <c r="E13" s="13" t="s">
        <v>124</v>
      </c>
      <c r="F13" s="17">
        <v>166</v>
      </c>
    </row>
    <row r="14" spans="1:6" x14ac:dyDescent="0.3">
      <c r="A14" s="3" t="s">
        <v>132</v>
      </c>
      <c r="B14" t="s">
        <v>2</v>
      </c>
      <c r="C14" t="s">
        <v>48</v>
      </c>
      <c r="D14" s="3">
        <v>326</v>
      </c>
      <c r="E14" s="13" t="s">
        <v>125</v>
      </c>
      <c r="F14" s="17">
        <v>104</v>
      </c>
    </row>
    <row r="15" spans="1:6" x14ac:dyDescent="0.3">
      <c r="A15" s="3" t="s">
        <v>132</v>
      </c>
      <c r="B15" t="s">
        <v>2</v>
      </c>
      <c r="C15" t="s">
        <v>48</v>
      </c>
      <c r="D15" s="3">
        <v>326</v>
      </c>
      <c r="E15" s="13" t="s">
        <v>130</v>
      </c>
      <c r="F15" s="17">
        <v>43</v>
      </c>
    </row>
    <row r="16" spans="1:6" x14ac:dyDescent="0.3">
      <c r="A16" s="3" t="s">
        <v>132</v>
      </c>
      <c r="B16" t="s">
        <v>2</v>
      </c>
      <c r="C16" t="s">
        <v>48</v>
      </c>
      <c r="D16" s="3">
        <v>326</v>
      </c>
      <c r="E16" s="13" t="s">
        <v>131</v>
      </c>
      <c r="F16" s="17">
        <v>10</v>
      </c>
    </row>
    <row r="17" spans="1:6" x14ac:dyDescent="0.3">
      <c r="A17" t="s">
        <v>6</v>
      </c>
      <c r="B17" t="s">
        <v>7</v>
      </c>
      <c r="C17" t="s">
        <v>48</v>
      </c>
      <c r="D17" s="3">
        <v>66</v>
      </c>
      <c r="E17" s="13" t="s">
        <v>124</v>
      </c>
      <c r="F17" s="17">
        <v>29</v>
      </c>
    </row>
    <row r="18" spans="1:6" x14ac:dyDescent="0.3">
      <c r="A18" t="s">
        <v>6</v>
      </c>
      <c r="B18" t="s">
        <v>7</v>
      </c>
      <c r="C18" t="s">
        <v>48</v>
      </c>
      <c r="D18" s="3">
        <v>66</v>
      </c>
      <c r="E18" s="14" t="s">
        <v>125</v>
      </c>
      <c r="F18" s="17">
        <v>28</v>
      </c>
    </row>
    <row r="19" spans="1:6" x14ac:dyDescent="0.3">
      <c r="A19" t="s">
        <v>6</v>
      </c>
      <c r="B19" t="s">
        <v>7</v>
      </c>
      <c r="C19" t="s">
        <v>48</v>
      </c>
      <c r="D19" s="3">
        <v>66</v>
      </c>
      <c r="E19" s="13" t="s">
        <v>126</v>
      </c>
      <c r="F19" s="17">
        <v>9</v>
      </c>
    </row>
    <row r="20" spans="1:6" x14ac:dyDescent="0.3">
      <c r="A20" s="2" t="s">
        <v>8</v>
      </c>
      <c r="B20" t="s">
        <v>3</v>
      </c>
      <c r="C20" t="s">
        <v>48</v>
      </c>
      <c r="D20" s="3">
        <v>77</v>
      </c>
      <c r="E20" t="s">
        <v>134</v>
      </c>
      <c r="F20" s="18">
        <v>43.042999999999992</v>
      </c>
    </row>
    <row r="21" spans="1:6" x14ac:dyDescent="0.3">
      <c r="A21" s="2" t="s">
        <v>8</v>
      </c>
      <c r="B21" t="s">
        <v>3</v>
      </c>
      <c r="C21" t="s">
        <v>48</v>
      </c>
      <c r="D21" s="3">
        <v>77</v>
      </c>
      <c r="E21" t="s">
        <v>135</v>
      </c>
      <c r="F21" s="18">
        <v>9.0090000000000003</v>
      </c>
    </row>
    <row r="22" spans="1:6" x14ac:dyDescent="0.3">
      <c r="A22" s="2" t="s">
        <v>8</v>
      </c>
      <c r="B22" t="s">
        <v>3</v>
      </c>
      <c r="C22" t="s">
        <v>48</v>
      </c>
      <c r="D22" s="3">
        <v>77</v>
      </c>
      <c r="E22" t="s">
        <v>136</v>
      </c>
      <c r="F22" s="18">
        <v>18.018000000000001</v>
      </c>
    </row>
    <row r="23" spans="1:6" x14ac:dyDescent="0.3">
      <c r="A23" s="2" t="s">
        <v>8</v>
      </c>
      <c r="B23" t="s">
        <v>3</v>
      </c>
      <c r="C23" t="s">
        <v>48</v>
      </c>
      <c r="D23" s="3">
        <v>77</v>
      </c>
      <c r="E23" t="s">
        <v>133</v>
      </c>
      <c r="F23" s="18">
        <v>6.93</v>
      </c>
    </row>
    <row r="24" spans="1:6" x14ac:dyDescent="0.3">
      <c r="A24" s="4" t="s">
        <v>137</v>
      </c>
      <c r="B24" s="3" t="s">
        <v>7</v>
      </c>
      <c r="C24" t="s">
        <v>48</v>
      </c>
      <c r="D24" s="3">
        <v>17</v>
      </c>
      <c r="E24" s="13" t="s">
        <v>140</v>
      </c>
      <c r="F24" s="16">
        <v>0</v>
      </c>
    </row>
    <row r="25" spans="1:6" x14ac:dyDescent="0.3">
      <c r="A25" s="4" t="s">
        <v>137</v>
      </c>
      <c r="B25" s="3" t="s">
        <v>7</v>
      </c>
      <c r="C25" t="s">
        <v>48</v>
      </c>
      <c r="D25" s="3">
        <v>17</v>
      </c>
      <c r="E25" s="13" t="s">
        <v>141</v>
      </c>
      <c r="F25" s="16">
        <v>3</v>
      </c>
    </row>
    <row r="26" spans="1:6" x14ac:dyDescent="0.3">
      <c r="A26" s="4" t="s">
        <v>137</v>
      </c>
      <c r="B26" s="3" t="s">
        <v>7</v>
      </c>
      <c r="C26" t="s">
        <v>48</v>
      </c>
      <c r="D26" s="3">
        <v>17</v>
      </c>
      <c r="E26" s="13" t="s">
        <v>125</v>
      </c>
      <c r="F26" s="16">
        <v>3</v>
      </c>
    </row>
    <row r="27" spans="1:6" x14ac:dyDescent="0.3">
      <c r="A27" s="4" t="s">
        <v>137</v>
      </c>
      <c r="B27" s="3" t="s">
        <v>7</v>
      </c>
      <c r="C27" t="s">
        <v>48</v>
      </c>
      <c r="D27" s="3">
        <v>17</v>
      </c>
      <c r="E27" s="13" t="s">
        <v>126</v>
      </c>
      <c r="F27" s="16">
        <v>11</v>
      </c>
    </row>
    <row r="28" spans="1:6" x14ac:dyDescent="0.3">
      <c r="A28" s="3" t="s">
        <v>138</v>
      </c>
      <c r="B28" s="3" t="s">
        <v>2</v>
      </c>
      <c r="C28" s="3" t="s">
        <v>48</v>
      </c>
      <c r="D28" s="3">
        <v>43</v>
      </c>
      <c r="E28" s="19" t="s">
        <v>139</v>
      </c>
      <c r="F28" s="18">
        <v>3.9260999999999999</v>
      </c>
    </row>
    <row r="29" spans="1:6" x14ac:dyDescent="0.3">
      <c r="A29" s="3" t="s">
        <v>138</v>
      </c>
      <c r="B29" s="3" t="s">
        <v>2</v>
      </c>
      <c r="C29" s="3" t="s">
        <v>48</v>
      </c>
      <c r="D29" s="3">
        <v>43</v>
      </c>
      <c r="E29" s="19" t="s">
        <v>140</v>
      </c>
      <c r="F29" s="18">
        <v>25</v>
      </c>
    </row>
    <row r="30" spans="1:6" x14ac:dyDescent="0.3">
      <c r="A30" s="3" t="s">
        <v>138</v>
      </c>
      <c r="B30" s="3" t="s">
        <v>2</v>
      </c>
      <c r="C30" s="3" t="s">
        <v>48</v>
      </c>
      <c r="D30" s="3">
        <v>43</v>
      </c>
      <c r="E30" s="20" t="s">
        <v>141</v>
      </c>
      <c r="F30" s="18">
        <v>3</v>
      </c>
    </row>
    <row r="31" spans="1:6" x14ac:dyDescent="0.3">
      <c r="A31" s="3" t="s">
        <v>138</v>
      </c>
      <c r="B31" s="3" t="s">
        <v>2</v>
      </c>
      <c r="C31" s="3" t="s">
        <v>48</v>
      </c>
      <c r="D31" s="3">
        <v>43</v>
      </c>
      <c r="E31" s="20" t="s">
        <v>125</v>
      </c>
      <c r="F31" s="18">
        <v>7</v>
      </c>
    </row>
    <row r="32" spans="1:6" x14ac:dyDescent="0.3">
      <c r="A32" s="3" t="s">
        <v>138</v>
      </c>
      <c r="B32" s="3" t="s">
        <v>2</v>
      </c>
      <c r="C32" s="3" t="s">
        <v>48</v>
      </c>
      <c r="D32" s="3">
        <v>43</v>
      </c>
      <c r="E32" s="20" t="s">
        <v>126</v>
      </c>
      <c r="F32" s="18">
        <v>4</v>
      </c>
    </row>
    <row r="33" spans="1:6" x14ac:dyDescent="0.3">
      <c r="A33" s="3" t="s">
        <v>142</v>
      </c>
      <c r="B33" s="3" t="s">
        <v>2</v>
      </c>
      <c r="C33" s="3" t="s">
        <v>47</v>
      </c>
      <c r="D33" s="3">
        <v>68</v>
      </c>
      <c r="E33" s="3" t="s">
        <v>144</v>
      </c>
      <c r="F33" s="22">
        <v>48</v>
      </c>
    </row>
    <row r="34" spans="1:6" x14ac:dyDescent="0.3">
      <c r="A34" s="3" t="s">
        <v>142</v>
      </c>
      <c r="B34" s="3" t="s">
        <v>2</v>
      </c>
      <c r="C34" s="3" t="s">
        <v>47</v>
      </c>
      <c r="D34" s="3">
        <v>68</v>
      </c>
      <c r="E34" s="3" t="s">
        <v>145</v>
      </c>
      <c r="F34" s="22">
        <v>1</v>
      </c>
    </row>
    <row r="35" spans="1:6" x14ac:dyDescent="0.3">
      <c r="A35" s="3" t="s">
        <v>142</v>
      </c>
      <c r="B35" s="3" t="s">
        <v>2</v>
      </c>
      <c r="C35" s="3" t="s">
        <v>47</v>
      </c>
      <c r="D35" s="3">
        <v>68</v>
      </c>
      <c r="E35" s="21" t="s">
        <v>146</v>
      </c>
      <c r="F35" s="22">
        <v>2</v>
      </c>
    </row>
    <row r="36" spans="1:6" x14ac:dyDescent="0.3">
      <c r="A36" s="3" t="s">
        <v>142</v>
      </c>
      <c r="B36" s="3" t="s">
        <v>2</v>
      </c>
      <c r="C36" s="3" t="s">
        <v>47</v>
      </c>
      <c r="D36" s="3">
        <v>68</v>
      </c>
      <c r="E36" s="3" t="s">
        <v>143</v>
      </c>
      <c r="F36" s="22">
        <v>17</v>
      </c>
    </row>
    <row r="37" spans="1:6" x14ac:dyDescent="0.3">
      <c r="A37" s="3" t="s">
        <v>147</v>
      </c>
      <c r="B37" s="3" t="s">
        <v>2</v>
      </c>
      <c r="C37" s="3" t="s">
        <v>47</v>
      </c>
      <c r="D37" s="3">
        <v>6</v>
      </c>
      <c r="E37" s="19" t="s">
        <v>140</v>
      </c>
      <c r="F37" s="15">
        <v>5</v>
      </c>
    </row>
    <row r="38" spans="1:6" x14ac:dyDescent="0.3">
      <c r="A38" s="3" t="s">
        <v>147</v>
      </c>
      <c r="B38" s="3" t="s">
        <v>2</v>
      </c>
      <c r="C38" s="3" t="s">
        <v>47</v>
      </c>
      <c r="D38" s="3">
        <v>6</v>
      </c>
      <c r="E38" s="20" t="s">
        <v>141</v>
      </c>
      <c r="F38" s="15">
        <v>1</v>
      </c>
    </row>
    <row r="39" spans="1:6" x14ac:dyDescent="0.3">
      <c r="A39" s="3" t="s">
        <v>147</v>
      </c>
      <c r="B39" s="3" t="s">
        <v>2</v>
      </c>
      <c r="C39" s="3" t="s">
        <v>47</v>
      </c>
      <c r="D39" s="3">
        <v>6</v>
      </c>
      <c r="E39" s="20" t="s">
        <v>125</v>
      </c>
      <c r="F39" s="15">
        <v>0</v>
      </c>
    </row>
    <row r="40" spans="1:6" x14ac:dyDescent="0.3">
      <c r="A40" s="3" t="s">
        <v>147</v>
      </c>
      <c r="B40" s="3" t="s">
        <v>2</v>
      </c>
      <c r="C40" s="3" t="s">
        <v>47</v>
      </c>
      <c r="D40" s="3">
        <v>6</v>
      </c>
      <c r="E40" s="20" t="s">
        <v>126</v>
      </c>
      <c r="F40" s="15">
        <v>0</v>
      </c>
    </row>
    <row r="41" spans="1:6" x14ac:dyDescent="0.3">
      <c r="A41" s="3" t="s">
        <v>12</v>
      </c>
      <c r="B41" s="3" t="s">
        <v>2</v>
      </c>
      <c r="C41" s="3" t="s">
        <v>48</v>
      </c>
      <c r="D41" s="3">
        <v>241</v>
      </c>
      <c r="E41" s="3" t="s">
        <v>124</v>
      </c>
      <c r="F41" s="15">
        <v>82</v>
      </c>
    </row>
    <row r="42" spans="1:6" x14ac:dyDescent="0.3">
      <c r="A42" s="3" t="s">
        <v>12</v>
      </c>
      <c r="B42" s="3" t="s">
        <v>2</v>
      </c>
      <c r="C42" s="3" t="s">
        <v>48</v>
      </c>
      <c r="D42" s="3">
        <v>241</v>
      </c>
      <c r="E42" s="3" t="s">
        <v>158</v>
      </c>
      <c r="F42" s="15">
        <v>69</v>
      </c>
    </row>
    <row r="43" spans="1:6" x14ac:dyDescent="0.3">
      <c r="A43" s="3" t="s">
        <v>12</v>
      </c>
      <c r="B43" s="3" t="s">
        <v>2</v>
      </c>
      <c r="C43" s="3" t="s">
        <v>48</v>
      </c>
      <c r="D43" s="3">
        <v>241</v>
      </c>
      <c r="E43" s="3" t="s">
        <v>136</v>
      </c>
      <c r="F43" s="15">
        <v>59</v>
      </c>
    </row>
    <row r="44" spans="1:6" x14ac:dyDescent="0.3">
      <c r="A44" s="3" t="s">
        <v>13</v>
      </c>
      <c r="B44" s="3" t="s">
        <v>2</v>
      </c>
      <c r="C44" s="3" t="s">
        <v>48</v>
      </c>
      <c r="D44" s="5">
        <v>111</v>
      </c>
      <c r="E44" s="3" t="s">
        <v>140</v>
      </c>
      <c r="F44" s="15">
        <v>17</v>
      </c>
    </row>
    <row r="45" spans="1:6" x14ac:dyDescent="0.3">
      <c r="A45" s="3" t="s">
        <v>13</v>
      </c>
      <c r="B45" s="3" t="s">
        <v>2</v>
      </c>
      <c r="C45" s="3" t="s">
        <v>48</v>
      </c>
      <c r="D45" s="5">
        <v>111</v>
      </c>
      <c r="E45" s="3" t="s">
        <v>141</v>
      </c>
      <c r="F45" s="15">
        <v>26</v>
      </c>
    </row>
    <row r="46" spans="1:6" x14ac:dyDescent="0.3">
      <c r="A46" s="3" t="s">
        <v>13</v>
      </c>
      <c r="B46" s="3" t="s">
        <v>2</v>
      </c>
      <c r="C46" s="3" t="s">
        <v>48</v>
      </c>
      <c r="D46" s="5">
        <v>111</v>
      </c>
      <c r="E46" s="3" t="s">
        <v>125</v>
      </c>
      <c r="F46" s="15">
        <v>46</v>
      </c>
    </row>
    <row r="47" spans="1:6" x14ac:dyDescent="0.3">
      <c r="A47" s="3" t="s">
        <v>13</v>
      </c>
      <c r="B47" s="3" t="s">
        <v>2</v>
      </c>
      <c r="C47" s="3" t="s">
        <v>48</v>
      </c>
      <c r="D47" s="5">
        <v>111</v>
      </c>
      <c r="E47" s="3" t="s">
        <v>126</v>
      </c>
      <c r="F47" s="15">
        <v>22</v>
      </c>
    </row>
    <row r="48" spans="1:6" x14ac:dyDescent="0.3">
      <c r="A48" s="3" t="s">
        <v>148</v>
      </c>
      <c r="B48" s="3" t="s">
        <v>2</v>
      </c>
      <c r="C48" s="3" t="s">
        <v>48</v>
      </c>
      <c r="D48" s="3">
        <v>30</v>
      </c>
      <c r="E48" s="3" t="s">
        <v>149</v>
      </c>
      <c r="F48" s="15">
        <v>12</v>
      </c>
    </row>
    <row r="49" spans="1:6" x14ac:dyDescent="0.3">
      <c r="A49" s="3" t="s">
        <v>148</v>
      </c>
      <c r="B49" s="3" t="s">
        <v>2</v>
      </c>
      <c r="C49" s="3" t="s">
        <v>48</v>
      </c>
      <c r="D49" s="3">
        <v>30</v>
      </c>
      <c r="E49" s="3" t="s">
        <v>150</v>
      </c>
      <c r="F49" s="15">
        <v>9</v>
      </c>
    </row>
    <row r="50" spans="1:6" x14ac:dyDescent="0.3">
      <c r="A50" s="3" t="s">
        <v>148</v>
      </c>
      <c r="B50" s="3" t="s">
        <v>2</v>
      </c>
      <c r="C50" s="3" t="s">
        <v>48</v>
      </c>
      <c r="D50" s="3">
        <v>30</v>
      </c>
      <c r="E50" s="3" t="s">
        <v>151</v>
      </c>
      <c r="F50" s="15">
        <v>2</v>
      </c>
    </row>
    <row r="51" spans="1:6" x14ac:dyDescent="0.3">
      <c r="A51" s="3" t="s">
        <v>148</v>
      </c>
      <c r="B51" s="3" t="s">
        <v>2</v>
      </c>
      <c r="C51" s="3" t="s">
        <v>48</v>
      </c>
      <c r="D51" s="3">
        <v>30</v>
      </c>
      <c r="E51" s="3" t="s">
        <v>152</v>
      </c>
      <c r="F51" s="15">
        <v>7</v>
      </c>
    </row>
    <row r="52" spans="1:6" x14ac:dyDescent="0.3">
      <c r="A52" s="3" t="s">
        <v>17</v>
      </c>
      <c r="B52" s="3" t="s">
        <v>18</v>
      </c>
      <c r="C52" s="3" t="s">
        <v>48</v>
      </c>
      <c r="D52" s="3">
        <v>63</v>
      </c>
      <c r="E52" s="3" t="s">
        <v>124</v>
      </c>
      <c r="F52" s="15">
        <v>52</v>
      </c>
    </row>
    <row r="53" spans="1:6" x14ac:dyDescent="0.3">
      <c r="A53" s="3" t="s">
        <v>17</v>
      </c>
      <c r="B53" s="3" t="s">
        <v>18</v>
      </c>
      <c r="C53" s="3" t="s">
        <v>48</v>
      </c>
      <c r="D53" s="3">
        <v>63</v>
      </c>
      <c r="E53" s="3" t="s">
        <v>125</v>
      </c>
      <c r="F53" s="15">
        <v>5</v>
      </c>
    </row>
    <row r="54" spans="1:6" x14ac:dyDescent="0.3">
      <c r="A54" s="3" t="s">
        <v>17</v>
      </c>
      <c r="B54" s="3" t="s">
        <v>18</v>
      </c>
      <c r="C54" s="3" t="s">
        <v>48</v>
      </c>
      <c r="D54" s="3">
        <v>63</v>
      </c>
      <c r="E54" s="3" t="s">
        <v>153</v>
      </c>
      <c r="F54" s="15">
        <v>6</v>
      </c>
    </row>
    <row r="55" spans="1:6" x14ac:dyDescent="0.3">
      <c r="A55" s="3" t="s">
        <v>19</v>
      </c>
      <c r="B55" s="3" t="s">
        <v>2</v>
      </c>
      <c r="C55" s="3" t="s">
        <v>48</v>
      </c>
      <c r="D55" s="3">
        <v>74</v>
      </c>
      <c r="E55" s="3" t="s">
        <v>140</v>
      </c>
      <c r="F55" s="15">
        <v>29</v>
      </c>
    </row>
    <row r="56" spans="1:6" x14ac:dyDescent="0.3">
      <c r="A56" s="3" t="s">
        <v>19</v>
      </c>
      <c r="B56" s="3" t="s">
        <v>2</v>
      </c>
      <c r="C56" s="3" t="s">
        <v>48</v>
      </c>
      <c r="D56" s="3">
        <v>74</v>
      </c>
      <c r="E56" s="3" t="s">
        <v>141</v>
      </c>
      <c r="F56" s="15">
        <v>20</v>
      </c>
    </row>
    <row r="57" spans="1:6" x14ac:dyDescent="0.3">
      <c r="A57" s="3" t="s">
        <v>19</v>
      </c>
      <c r="B57" s="3" t="s">
        <v>2</v>
      </c>
      <c r="C57" s="3" t="s">
        <v>48</v>
      </c>
      <c r="D57" s="3">
        <v>74</v>
      </c>
      <c r="E57" s="3" t="s">
        <v>125</v>
      </c>
      <c r="F57" s="15">
        <v>13</v>
      </c>
    </row>
    <row r="58" spans="1:6" x14ac:dyDescent="0.3">
      <c r="A58" s="3" t="s">
        <v>19</v>
      </c>
      <c r="B58" s="3" t="s">
        <v>2</v>
      </c>
      <c r="C58" s="3" t="s">
        <v>48</v>
      </c>
      <c r="D58" s="3">
        <v>74</v>
      </c>
      <c r="E58" s="3" t="s">
        <v>126</v>
      </c>
      <c r="F58" s="15">
        <v>1</v>
      </c>
    </row>
    <row r="59" spans="1:6" x14ac:dyDescent="0.3">
      <c r="A59" s="3" t="s">
        <v>155</v>
      </c>
      <c r="B59" s="3" t="s">
        <v>156</v>
      </c>
      <c r="C59" s="3" t="s">
        <v>48</v>
      </c>
      <c r="D59" s="3">
        <v>65</v>
      </c>
      <c r="E59" s="3" t="s">
        <v>125</v>
      </c>
      <c r="F59" s="15">
        <v>30</v>
      </c>
    </row>
    <row r="60" spans="1:6" x14ac:dyDescent="0.3">
      <c r="A60" s="3" t="s">
        <v>155</v>
      </c>
      <c r="B60" s="3" t="s">
        <v>156</v>
      </c>
      <c r="C60" s="3" t="s">
        <v>48</v>
      </c>
      <c r="D60" s="3">
        <v>65</v>
      </c>
      <c r="E60" s="3" t="s">
        <v>141</v>
      </c>
      <c r="F60" s="15">
        <v>7</v>
      </c>
    </row>
    <row r="61" spans="1:6" x14ac:dyDescent="0.3">
      <c r="A61" s="3" t="s">
        <v>155</v>
      </c>
      <c r="B61" s="3" t="s">
        <v>156</v>
      </c>
      <c r="C61" s="3" t="s">
        <v>48</v>
      </c>
      <c r="D61" s="3">
        <v>65</v>
      </c>
      <c r="E61" s="3" t="s">
        <v>157</v>
      </c>
      <c r="F61" s="15">
        <v>8</v>
      </c>
    </row>
    <row r="62" spans="1:6" x14ac:dyDescent="0.3">
      <c r="A62" s="3" t="s">
        <v>155</v>
      </c>
      <c r="B62" s="3" t="s">
        <v>156</v>
      </c>
      <c r="C62" s="3" t="s">
        <v>48</v>
      </c>
      <c r="D62" s="3">
        <v>65</v>
      </c>
      <c r="E62" s="3" t="s">
        <v>126</v>
      </c>
      <c r="F62" s="15">
        <v>13</v>
      </c>
    </row>
    <row r="63" spans="1:6" x14ac:dyDescent="0.3">
      <c r="A63" s="3" t="s">
        <v>155</v>
      </c>
      <c r="B63" s="3" t="s">
        <v>156</v>
      </c>
      <c r="C63" s="3" t="s">
        <v>48</v>
      </c>
      <c r="D63" s="3">
        <v>65</v>
      </c>
      <c r="E63" s="3" t="s">
        <v>149</v>
      </c>
      <c r="F63" s="15">
        <v>2</v>
      </c>
    </row>
    <row r="64" spans="1:6" x14ac:dyDescent="0.3">
      <c r="A64" s="3" t="s">
        <v>155</v>
      </c>
      <c r="B64" s="3" t="s">
        <v>156</v>
      </c>
      <c r="C64" s="3" t="s">
        <v>48</v>
      </c>
      <c r="D64" s="3">
        <v>65</v>
      </c>
      <c r="E64" s="3" t="s">
        <v>154</v>
      </c>
      <c r="F64" s="15">
        <v>5</v>
      </c>
    </row>
    <row r="65" spans="1:6" x14ac:dyDescent="0.3">
      <c r="A65" s="3" t="s">
        <v>20</v>
      </c>
      <c r="B65" s="3" t="s">
        <v>21</v>
      </c>
      <c r="C65" s="3" t="s">
        <v>48</v>
      </c>
      <c r="D65" s="3">
        <v>27</v>
      </c>
      <c r="E65" s="3" t="s">
        <v>140</v>
      </c>
      <c r="F65" s="15">
        <v>3</v>
      </c>
    </row>
    <row r="66" spans="1:6" x14ac:dyDescent="0.3">
      <c r="A66" s="3" t="s">
        <v>20</v>
      </c>
      <c r="B66" s="3" t="s">
        <v>21</v>
      </c>
      <c r="C66" s="3" t="s">
        <v>48</v>
      </c>
      <c r="D66" s="3">
        <v>27</v>
      </c>
      <c r="E66" s="3" t="s">
        <v>141</v>
      </c>
      <c r="F66" s="15">
        <v>2</v>
      </c>
    </row>
    <row r="67" spans="1:6" x14ac:dyDescent="0.3">
      <c r="A67" s="3" t="s">
        <v>20</v>
      </c>
      <c r="B67" s="3" t="s">
        <v>21</v>
      </c>
      <c r="C67" s="3" t="s">
        <v>48</v>
      </c>
      <c r="D67" s="3">
        <v>27</v>
      </c>
      <c r="E67" s="3" t="s">
        <v>125</v>
      </c>
      <c r="F67" s="15">
        <v>9</v>
      </c>
    </row>
    <row r="68" spans="1:6" x14ac:dyDescent="0.3">
      <c r="A68" s="3" t="s">
        <v>20</v>
      </c>
      <c r="B68" s="3" t="s">
        <v>21</v>
      </c>
      <c r="C68" s="3" t="s">
        <v>48</v>
      </c>
      <c r="D68" s="3">
        <v>27</v>
      </c>
      <c r="E68" s="3" t="s">
        <v>126</v>
      </c>
      <c r="F68" s="22">
        <v>13</v>
      </c>
    </row>
    <row r="69" spans="1:6" x14ac:dyDescent="0.3">
      <c r="A69" s="3" t="s">
        <v>184</v>
      </c>
      <c r="B69" s="3" t="s">
        <v>185</v>
      </c>
      <c r="C69" s="3" t="s">
        <v>48</v>
      </c>
      <c r="D69" s="3">
        <v>162</v>
      </c>
      <c r="E69" s="3" t="s">
        <v>141</v>
      </c>
      <c r="F69" s="22">
        <v>3</v>
      </c>
    </row>
    <row r="70" spans="1:6" x14ac:dyDescent="0.3">
      <c r="A70" s="3" t="s">
        <v>184</v>
      </c>
      <c r="B70" s="3" t="s">
        <v>185</v>
      </c>
      <c r="C70" s="3" t="s">
        <v>48</v>
      </c>
      <c r="D70" s="3">
        <v>162</v>
      </c>
      <c r="E70" s="3" t="s">
        <v>125</v>
      </c>
      <c r="F70" s="22">
        <v>73</v>
      </c>
    </row>
    <row r="71" spans="1:6" x14ac:dyDescent="0.3">
      <c r="A71" s="3" t="s">
        <v>184</v>
      </c>
      <c r="B71" s="3" t="s">
        <v>185</v>
      </c>
      <c r="C71" s="3" t="s">
        <v>48</v>
      </c>
      <c r="D71" s="3">
        <v>162</v>
      </c>
      <c r="E71" s="3" t="s">
        <v>126</v>
      </c>
      <c r="F71" s="22">
        <v>86</v>
      </c>
    </row>
    <row r="72" spans="1:6" x14ac:dyDescent="0.3">
      <c r="A72" s="3" t="s">
        <v>186</v>
      </c>
      <c r="B72" s="3" t="s">
        <v>187</v>
      </c>
      <c r="C72" s="3" t="s">
        <v>48</v>
      </c>
      <c r="D72" s="3">
        <v>85</v>
      </c>
      <c r="E72" s="3" t="s">
        <v>124</v>
      </c>
      <c r="F72" s="22">
        <v>16</v>
      </c>
    </row>
    <row r="73" spans="1:6" x14ac:dyDescent="0.3">
      <c r="A73" s="3" t="s">
        <v>186</v>
      </c>
      <c r="B73" s="3" t="s">
        <v>187</v>
      </c>
      <c r="C73" s="3" t="s">
        <v>48</v>
      </c>
      <c r="D73" s="3">
        <v>85</v>
      </c>
      <c r="E73" s="3" t="s">
        <v>209</v>
      </c>
      <c r="F73" s="22">
        <v>22</v>
      </c>
    </row>
    <row r="74" spans="1:6" x14ac:dyDescent="0.3">
      <c r="A74" s="3" t="s">
        <v>186</v>
      </c>
      <c r="B74" s="3" t="s">
        <v>187</v>
      </c>
      <c r="C74" s="3" t="s">
        <v>48</v>
      </c>
      <c r="D74" s="3">
        <v>85</v>
      </c>
      <c r="E74" s="3" t="s">
        <v>136</v>
      </c>
      <c r="F74" s="22">
        <v>47</v>
      </c>
    </row>
    <row r="75" spans="1:6" x14ac:dyDescent="0.3">
      <c r="A75" s="3" t="s">
        <v>180</v>
      </c>
      <c r="B75" s="3" t="s">
        <v>181</v>
      </c>
      <c r="C75" s="3" t="s">
        <v>48</v>
      </c>
      <c r="D75" s="3">
        <v>47</v>
      </c>
      <c r="E75" s="3" t="s">
        <v>140</v>
      </c>
      <c r="F75" s="22">
        <v>15</v>
      </c>
    </row>
    <row r="76" spans="1:6" x14ac:dyDescent="0.3">
      <c r="A76" s="3" t="s">
        <v>180</v>
      </c>
      <c r="B76" s="3" t="s">
        <v>181</v>
      </c>
      <c r="C76" s="3" t="s">
        <v>48</v>
      </c>
      <c r="D76" s="3">
        <v>47</v>
      </c>
      <c r="E76" s="3" t="s">
        <v>141</v>
      </c>
      <c r="F76" s="22">
        <v>9</v>
      </c>
    </row>
    <row r="77" spans="1:6" x14ac:dyDescent="0.3">
      <c r="A77" s="3" t="s">
        <v>180</v>
      </c>
      <c r="B77" s="3" t="s">
        <v>181</v>
      </c>
      <c r="C77" s="3" t="s">
        <v>48</v>
      </c>
      <c r="D77" s="3">
        <v>47</v>
      </c>
      <c r="E77" s="3" t="s">
        <v>125</v>
      </c>
      <c r="F77" s="22">
        <v>13</v>
      </c>
    </row>
    <row r="78" spans="1:6" x14ac:dyDescent="0.3">
      <c r="A78" s="3" t="s">
        <v>180</v>
      </c>
      <c r="B78" s="3" t="s">
        <v>181</v>
      </c>
      <c r="C78" s="3" t="s">
        <v>48</v>
      </c>
      <c r="D78" s="3">
        <v>47</v>
      </c>
      <c r="E78" s="3" t="s">
        <v>126</v>
      </c>
      <c r="F78" s="22">
        <v>10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8CF2-0AAE-45C2-8D51-7937A5C0233E}">
  <dimension ref="A1:G33"/>
  <sheetViews>
    <sheetView topLeftCell="A37" workbookViewId="0">
      <selection activeCell="G31" sqref="G31"/>
    </sheetView>
  </sheetViews>
  <sheetFormatPr defaultRowHeight="14.4" x14ac:dyDescent="0.3"/>
  <cols>
    <col min="1" max="6" width="18.77734375" customWidth="1"/>
  </cols>
  <sheetData>
    <row r="1" spans="1:7" x14ac:dyDescent="0.3">
      <c r="A1" s="1" t="s">
        <v>0</v>
      </c>
      <c r="B1" s="1" t="s">
        <v>50</v>
      </c>
      <c r="C1" s="1" t="s">
        <v>46</v>
      </c>
      <c r="D1" s="1" t="s">
        <v>45</v>
      </c>
      <c r="E1" s="1" t="s">
        <v>159</v>
      </c>
      <c r="F1" s="10" t="s">
        <v>51</v>
      </c>
      <c r="G1" s="1" t="s">
        <v>217</v>
      </c>
    </row>
    <row r="2" spans="1:7" x14ac:dyDescent="0.3">
      <c r="A2" t="s">
        <v>4</v>
      </c>
      <c r="B2" t="s">
        <v>2</v>
      </c>
      <c r="C2" t="s">
        <v>48</v>
      </c>
      <c r="D2">
        <v>619</v>
      </c>
      <c r="E2" t="s">
        <v>160</v>
      </c>
      <c r="F2">
        <v>536</v>
      </c>
      <c r="G2" s="11">
        <f>(F2/D2) *100</f>
        <v>86.591276252019384</v>
      </c>
    </row>
    <row r="3" spans="1:7" x14ac:dyDescent="0.3">
      <c r="A3" t="s">
        <v>4</v>
      </c>
      <c r="B3" t="s">
        <v>2</v>
      </c>
      <c r="C3" t="s">
        <v>48</v>
      </c>
      <c r="D3">
        <v>619</v>
      </c>
      <c r="E3" t="s">
        <v>161</v>
      </c>
      <c r="F3">
        <v>83</v>
      </c>
      <c r="G3" s="11">
        <f t="shared" ref="G3:G25" si="0">(F3/D3) *100</f>
        <v>13.408723747980615</v>
      </c>
    </row>
    <row r="4" spans="1:7" x14ac:dyDescent="0.3">
      <c r="A4" s="3" t="s">
        <v>132</v>
      </c>
      <c r="B4" t="s">
        <v>2</v>
      </c>
      <c r="C4" t="s">
        <v>48</v>
      </c>
      <c r="D4" s="3">
        <v>326</v>
      </c>
      <c r="E4" t="s">
        <v>162</v>
      </c>
      <c r="F4" s="23">
        <v>235</v>
      </c>
      <c r="G4" s="11">
        <f t="shared" si="0"/>
        <v>72.085889570552141</v>
      </c>
    </row>
    <row r="5" spans="1:7" x14ac:dyDescent="0.3">
      <c r="A5" s="3" t="s">
        <v>132</v>
      </c>
      <c r="B5" t="s">
        <v>2</v>
      </c>
      <c r="C5" t="s">
        <v>48</v>
      </c>
      <c r="D5" s="3">
        <v>326</v>
      </c>
      <c r="E5" t="s">
        <v>163</v>
      </c>
      <c r="F5" s="23">
        <v>59</v>
      </c>
      <c r="G5" s="11">
        <f t="shared" si="0"/>
        <v>18.098159509202453</v>
      </c>
    </row>
    <row r="6" spans="1:7" x14ac:dyDescent="0.3">
      <c r="A6" t="s">
        <v>6</v>
      </c>
      <c r="B6" t="s">
        <v>7</v>
      </c>
      <c r="C6" t="s">
        <v>48</v>
      </c>
      <c r="D6" s="3">
        <v>66</v>
      </c>
      <c r="E6" t="s">
        <v>162</v>
      </c>
      <c r="F6">
        <v>58</v>
      </c>
      <c r="G6" s="11">
        <f t="shared" si="0"/>
        <v>87.878787878787875</v>
      </c>
    </row>
    <row r="7" spans="1:7" x14ac:dyDescent="0.3">
      <c r="A7" t="s">
        <v>6</v>
      </c>
      <c r="B7" t="s">
        <v>7</v>
      </c>
      <c r="C7" t="s">
        <v>48</v>
      </c>
      <c r="D7" s="3">
        <v>66</v>
      </c>
      <c r="E7" t="s">
        <v>161</v>
      </c>
      <c r="F7">
        <v>8</v>
      </c>
      <c r="G7" s="11">
        <f t="shared" si="0"/>
        <v>12.121212121212121</v>
      </c>
    </row>
    <row r="8" spans="1:7" x14ac:dyDescent="0.3">
      <c r="A8" t="s">
        <v>5</v>
      </c>
      <c r="B8" t="s">
        <v>2</v>
      </c>
      <c r="C8" t="s">
        <v>48</v>
      </c>
      <c r="D8" s="3">
        <v>215</v>
      </c>
      <c r="E8" t="s">
        <v>162</v>
      </c>
      <c r="F8">
        <v>163</v>
      </c>
      <c r="G8" s="11">
        <f t="shared" si="0"/>
        <v>75.813953488372093</v>
      </c>
    </row>
    <row r="9" spans="1:7" x14ac:dyDescent="0.3">
      <c r="A9" t="s">
        <v>5</v>
      </c>
      <c r="B9" t="s">
        <v>2</v>
      </c>
      <c r="C9" t="s">
        <v>48</v>
      </c>
      <c r="D9" s="3">
        <v>215</v>
      </c>
      <c r="E9" t="s">
        <v>161</v>
      </c>
      <c r="F9">
        <v>52</v>
      </c>
      <c r="G9" s="11">
        <f t="shared" si="0"/>
        <v>24.186046511627907</v>
      </c>
    </row>
    <row r="10" spans="1:7" x14ac:dyDescent="0.3">
      <c r="A10" s="3" t="s">
        <v>12</v>
      </c>
      <c r="B10" s="3" t="s">
        <v>2</v>
      </c>
      <c r="C10" s="3" t="s">
        <v>48</v>
      </c>
      <c r="D10" s="3">
        <v>241</v>
      </c>
      <c r="E10" t="s">
        <v>162</v>
      </c>
      <c r="F10">
        <v>210</v>
      </c>
      <c r="G10" s="11">
        <f t="shared" si="0"/>
        <v>87.136929460580916</v>
      </c>
    </row>
    <row r="11" spans="1:7" x14ac:dyDescent="0.3">
      <c r="A11" s="3" t="s">
        <v>12</v>
      </c>
      <c r="B11" s="3" t="s">
        <v>2</v>
      </c>
      <c r="C11" s="3" t="s">
        <v>48</v>
      </c>
      <c r="D11" s="3">
        <v>241</v>
      </c>
      <c r="E11" t="s">
        <v>161</v>
      </c>
      <c r="F11">
        <v>31</v>
      </c>
      <c r="G11" s="11">
        <f t="shared" si="0"/>
        <v>12.863070539419086</v>
      </c>
    </row>
    <row r="12" spans="1:7" x14ac:dyDescent="0.3">
      <c r="A12" s="3" t="s">
        <v>9</v>
      </c>
      <c r="B12" t="s">
        <v>10</v>
      </c>
      <c r="C12" t="s">
        <v>48</v>
      </c>
      <c r="D12" s="3">
        <v>393</v>
      </c>
      <c r="E12" t="s">
        <v>162</v>
      </c>
      <c r="F12">
        <v>294</v>
      </c>
      <c r="G12" s="11">
        <f t="shared" si="0"/>
        <v>74.809160305343511</v>
      </c>
    </row>
    <row r="13" spans="1:7" x14ac:dyDescent="0.3">
      <c r="A13" s="3" t="s">
        <v>9</v>
      </c>
      <c r="B13" t="s">
        <v>10</v>
      </c>
      <c r="C13" t="s">
        <v>48</v>
      </c>
      <c r="D13" s="3">
        <v>393</v>
      </c>
      <c r="E13" t="s">
        <v>163</v>
      </c>
      <c r="F13">
        <v>99</v>
      </c>
      <c r="G13" s="11">
        <f t="shared" si="0"/>
        <v>25.190839694656486</v>
      </c>
    </row>
    <row r="14" spans="1:7" x14ac:dyDescent="0.3">
      <c r="A14" s="3" t="s">
        <v>138</v>
      </c>
      <c r="B14" s="3" t="s">
        <v>2</v>
      </c>
      <c r="C14" s="3" t="s">
        <v>48</v>
      </c>
      <c r="D14" s="3">
        <v>43</v>
      </c>
      <c r="E14" t="s">
        <v>160</v>
      </c>
      <c r="F14">
        <v>31</v>
      </c>
      <c r="G14" s="11">
        <f t="shared" si="0"/>
        <v>72.093023255813947</v>
      </c>
    </row>
    <row r="15" spans="1:7" x14ac:dyDescent="0.3">
      <c r="A15" s="3" t="s">
        <v>138</v>
      </c>
      <c r="B15" s="3" t="s">
        <v>2</v>
      </c>
      <c r="C15" s="3" t="s">
        <v>48</v>
      </c>
      <c r="D15" s="3">
        <v>43</v>
      </c>
      <c r="E15" t="s">
        <v>161</v>
      </c>
      <c r="F15">
        <v>12</v>
      </c>
      <c r="G15" s="11">
        <f t="shared" si="0"/>
        <v>27.906976744186046</v>
      </c>
    </row>
    <row r="16" spans="1:7" x14ac:dyDescent="0.3">
      <c r="A16" s="3" t="s">
        <v>11</v>
      </c>
      <c r="B16" t="s">
        <v>10</v>
      </c>
      <c r="C16" s="3" t="s">
        <v>48</v>
      </c>
      <c r="D16" s="3">
        <v>203</v>
      </c>
      <c r="E16" s="3" t="s">
        <v>164</v>
      </c>
      <c r="F16">
        <v>147</v>
      </c>
      <c r="G16" s="11">
        <f t="shared" si="0"/>
        <v>72.41379310344827</v>
      </c>
    </row>
    <row r="17" spans="1:7" x14ac:dyDescent="0.3">
      <c r="A17" s="3" t="s">
        <v>11</v>
      </c>
      <c r="B17" t="s">
        <v>10</v>
      </c>
      <c r="C17" s="3" t="s">
        <v>48</v>
      </c>
      <c r="D17" s="3">
        <v>203</v>
      </c>
      <c r="E17" s="3" t="s">
        <v>161</v>
      </c>
      <c r="F17" s="24">
        <v>56</v>
      </c>
      <c r="G17" s="11">
        <f t="shared" si="0"/>
        <v>27.586206896551722</v>
      </c>
    </row>
    <row r="18" spans="1:7" x14ac:dyDescent="0.3">
      <c r="A18" s="3" t="s">
        <v>13</v>
      </c>
      <c r="B18" s="3" t="s">
        <v>2</v>
      </c>
      <c r="C18" s="3" t="s">
        <v>48</v>
      </c>
      <c r="D18" s="5">
        <v>111</v>
      </c>
      <c r="E18" s="3" t="s">
        <v>164</v>
      </c>
      <c r="F18" s="24">
        <v>106</v>
      </c>
      <c r="G18" s="11">
        <f t="shared" si="0"/>
        <v>95.495495495495504</v>
      </c>
    </row>
    <row r="19" spans="1:7" x14ac:dyDescent="0.3">
      <c r="A19" s="3" t="s">
        <v>13</v>
      </c>
      <c r="B19" s="3" t="s">
        <v>2</v>
      </c>
      <c r="C19" s="3" t="s">
        <v>48</v>
      </c>
      <c r="D19" s="5">
        <v>111</v>
      </c>
      <c r="E19" s="3" t="s">
        <v>165</v>
      </c>
      <c r="F19" s="24">
        <v>5</v>
      </c>
      <c r="G19" s="11">
        <f t="shared" si="0"/>
        <v>4.5045045045045047</v>
      </c>
    </row>
    <row r="20" spans="1:7" x14ac:dyDescent="0.3">
      <c r="A20" s="3" t="s">
        <v>166</v>
      </c>
      <c r="B20" s="3" t="s">
        <v>167</v>
      </c>
      <c r="C20" s="3" t="s">
        <v>48</v>
      </c>
      <c r="D20" s="3">
        <v>9</v>
      </c>
      <c r="E20" s="3" t="s">
        <v>164</v>
      </c>
      <c r="F20" s="24">
        <v>6</v>
      </c>
      <c r="G20" s="11">
        <f t="shared" si="0"/>
        <v>66.666666666666657</v>
      </c>
    </row>
    <row r="21" spans="1:7" x14ac:dyDescent="0.3">
      <c r="A21" s="3" t="s">
        <v>166</v>
      </c>
      <c r="B21" s="3" t="s">
        <v>167</v>
      </c>
      <c r="C21" s="3" t="s">
        <v>48</v>
      </c>
      <c r="D21" s="3">
        <v>9</v>
      </c>
      <c r="E21" s="3" t="s">
        <v>165</v>
      </c>
      <c r="F21" s="24">
        <v>3</v>
      </c>
      <c r="G21" s="11">
        <f t="shared" si="0"/>
        <v>33.333333333333329</v>
      </c>
    </row>
    <row r="22" spans="1:7" x14ac:dyDescent="0.3">
      <c r="A22" s="3" t="s">
        <v>14</v>
      </c>
      <c r="B22" s="3" t="s">
        <v>15</v>
      </c>
      <c r="C22" s="3" t="s">
        <v>48</v>
      </c>
      <c r="D22" s="3">
        <v>35</v>
      </c>
      <c r="E22" s="7" t="s">
        <v>168</v>
      </c>
      <c r="F22" s="25">
        <v>18</v>
      </c>
      <c r="G22" s="11">
        <f t="shared" si="0"/>
        <v>51.428571428571423</v>
      </c>
    </row>
    <row r="23" spans="1:7" x14ac:dyDescent="0.3">
      <c r="A23" s="3" t="s">
        <v>14</v>
      </c>
      <c r="B23" s="3" t="s">
        <v>15</v>
      </c>
      <c r="C23" s="3" t="s">
        <v>48</v>
      </c>
      <c r="D23" s="3">
        <v>35</v>
      </c>
      <c r="E23" s="7" t="s">
        <v>169</v>
      </c>
      <c r="F23" s="25">
        <v>14</v>
      </c>
      <c r="G23" s="11">
        <f t="shared" si="0"/>
        <v>40</v>
      </c>
    </row>
    <row r="24" spans="1:7" x14ac:dyDescent="0.3">
      <c r="A24" s="3" t="s">
        <v>14</v>
      </c>
      <c r="B24" s="3" t="s">
        <v>15</v>
      </c>
      <c r="C24" s="3" t="s">
        <v>48</v>
      </c>
      <c r="D24" s="3">
        <v>35</v>
      </c>
      <c r="E24" s="7" t="s">
        <v>170</v>
      </c>
      <c r="F24" s="25">
        <v>3</v>
      </c>
      <c r="G24" s="11">
        <f t="shared" si="0"/>
        <v>8.5714285714285712</v>
      </c>
    </row>
    <row r="25" spans="1:7" x14ac:dyDescent="0.3">
      <c r="A25" s="3" t="s">
        <v>20</v>
      </c>
      <c r="B25" s="3" t="s">
        <v>21</v>
      </c>
      <c r="C25" s="3" t="s">
        <v>48</v>
      </c>
      <c r="D25" s="3">
        <v>27</v>
      </c>
      <c r="E25" t="s">
        <v>171</v>
      </c>
      <c r="F25" s="24">
        <v>12</v>
      </c>
      <c r="G25" s="11">
        <f t="shared" si="0"/>
        <v>44.444444444444443</v>
      </c>
    </row>
    <row r="26" spans="1:7" x14ac:dyDescent="0.3">
      <c r="A26" s="3" t="s">
        <v>20</v>
      </c>
      <c r="B26" s="3" t="s">
        <v>21</v>
      </c>
      <c r="C26" s="3" t="s">
        <v>48</v>
      </c>
      <c r="D26" s="3">
        <v>27</v>
      </c>
      <c r="E26" t="s">
        <v>165</v>
      </c>
      <c r="F26" s="24">
        <v>15</v>
      </c>
      <c r="G26" s="11">
        <f>(F26/D26) *100</f>
        <v>55.555555555555557</v>
      </c>
    </row>
    <row r="27" spans="1:7" x14ac:dyDescent="0.3">
      <c r="A27" t="s">
        <v>155</v>
      </c>
      <c r="B27" t="s">
        <v>179</v>
      </c>
      <c r="C27" s="3" t="s">
        <v>48</v>
      </c>
      <c r="D27" s="3">
        <v>65</v>
      </c>
      <c r="E27" t="s">
        <v>160</v>
      </c>
      <c r="F27">
        <v>58</v>
      </c>
      <c r="G27" s="11">
        <f t="shared" ref="G27:G33" si="1">(F27/D27) *100</f>
        <v>89.230769230769241</v>
      </c>
    </row>
    <row r="28" spans="1:7" x14ac:dyDescent="0.3">
      <c r="A28" t="s">
        <v>155</v>
      </c>
      <c r="B28" t="s">
        <v>179</v>
      </c>
      <c r="C28" s="3" t="s">
        <v>48</v>
      </c>
      <c r="D28" s="3">
        <v>65</v>
      </c>
      <c r="E28" t="s">
        <v>161</v>
      </c>
      <c r="F28">
        <v>7</v>
      </c>
      <c r="G28" s="11">
        <f t="shared" si="1"/>
        <v>10.76923076923077</v>
      </c>
    </row>
    <row r="29" spans="1:7" x14ac:dyDescent="0.3">
      <c r="A29" s="3" t="s">
        <v>182</v>
      </c>
      <c r="B29" s="3" t="s">
        <v>183</v>
      </c>
      <c r="C29" s="3" t="s">
        <v>48</v>
      </c>
      <c r="D29" s="3">
        <v>32</v>
      </c>
      <c r="E29" s="3" t="s">
        <v>160</v>
      </c>
      <c r="F29">
        <v>7</v>
      </c>
      <c r="G29" s="11">
        <f t="shared" si="1"/>
        <v>21.875</v>
      </c>
    </row>
    <row r="30" spans="1:7" x14ac:dyDescent="0.3">
      <c r="A30" s="3" t="s">
        <v>182</v>
      </c>
      <c r="B30" s="3" t="s">
        <v>183</v>
      </c>
      <c r="C30" s="3" t="s">
        <v>48</v>
      </c>
      <c r="D30" s="3">
        <v>32</v>
      </c>
      <c r="E30" s="3" t="s">
        <v>161</v>
      </c>
      <c r="F30">
        <v>25</v>
      </c>
      <c r="G30" s="11">
        <f t="shared" si="1"/>
        <v>78.125</v>
      </c>
    </row>
    <row r="31" spans="1:7" x14ac:dyDescent="0.3">
      <c r="A31" s="3" t="s">
        <v>186</v>
      </c>
      <c r="B31" s="3" t="s">
        <v>187</v>
      </c>
      <c r="C31" s="3" t="s">
        <v>48</v>
      </c>
      <c r="D31" s="3">
        <v>85</v>
      </c>
      <c r="E31" t="s">
        <v>210</v>
      </c>
      <c r="F31">
        <v>43</v>
      </c>
      <c r="G31" s="11">
        <f t="shared" si="1"/>
        <v>50.588235294117645</v>
      </c>
    </row>
    <row r="32" spans="1:7" x14ac:dyDescent="0.3">
      <c r="A32" s="3" t="s">
        <v>186</v>
      </c>
      <c r="B32" s="3" t="s">
        <v>187</v>
      </c>
      <c r="C32" s="3" t="s">
        <v>48</v>
      </c>
      <c r="D32" s="3">
        <v>85</v>
      </c>
      <c r="E32" t="s">
        <v>211</v>
      </c>
      <c r="F32">
        <v>39</v>
      </c>
      <c r="G32" s="11">
        <f t="shared" si="1"/>
        <v>45.882352941176471</v>
      </c>
    </row>
    <row r="33" spans="1:7" x14ac:dyDescent="0.3">
      <c r="A33" s="3" t="s">
        <v>186</v>
      </c>
      <c r="B33" s="3" t="s">
        <v>187</v>
      </c>
      <c r="C33" s="3" t="s">
        <v>48</v>
      </c>
      <c r="D33" s="3">
        <v>85</v>
      </c>
      <c r="E33" t="s">
        <v>212</v>
      </c>
      <c r="F33">
        <v>3</v>
      </c>
      <c r="G33" s="11">
        <f t="shared" si="1"/>
        <v>3.5294117647058822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8E78-5585-4A73-A1A8-E680FD7EDA74}">
  <dimension ref="A1:G26"/>
  <sheetViews>
    <sheetView topLeftCell="A7" workbookViewId="0">
      <selection activeCell="G1" sqref="G1:G26"/>
    </sheetView>
  </sheetViews>
  <sheetFormatPr defaultRowHeight="14.4" x14ac:dyDescent="0.3"/>
  <cols>
    <col min="1" max="6" width="20" customWidth="1"/>
  </cols>
  <sheetData>
    <row r="1" spans="1:7" x14ac:dyDescent="0.3">
      <c r="A1" s="1" t="s">
        <v>0</v>
      </c>
      <c r="B1" s="1" t="s">
        <v>50</v>
      </c>
      <c r="C1" s="1" t="s">
        <v>46</v>
      </c>
      <c r="D1" s="1" t="s">
        <v>45</v>
      </c>
      <c r="E1" s="1" t="s">
        <v>172</v>
      </c>
      <c r="F1" s="10" t="s">
        <v>51</v>
      </c>
      <c r="G1" s="1" t="s">
        <v>217</v>
      </c>
    </row>
    <row r="2" spans="1:7" x14ac:dyDescent="0.3">
      <c r="A2" t="s">
        <v>1</v>
      </c>
      <c r="B2" t="s">
        <v>2</v>
      </c>
      <c r="C2" t="s">
        <v>47</v>
      </c>
      <c r="D2">
        <v>20</v>
      </c>
      <c r="E2" t="s">
        <v>173</v>
      </c>
      <c r="F2" s="11">
        <v>10</v>
      </c>
      <c r="G2" s="11">
        <f>(F2/D2) *100</f>
        <v>50</v>
      </c>
    </row>
    <row r="3" spans="1:7" x14ac:dyDescent="0.3">
      <c r="A3" t="s">
        <v>1</v>
      </c>
      <c r="B3" t="s">
        <v>2</v>
      </c>
      <c r="C3" t="s">
        <v>47</v>
      </c>
      <c r="D3">
        <v>20</v>
      </c>
      <c r="E3" t="s">
        <v>174</v>
      </c>
      <c r="F3" s="11">
        <v>10</v>
      </c>
      <c r="G3" s="11">
        <f t="shared" ref="G3:G26" si="0">(F3/D3) *100</f>
        <v>50</v>
      </c>
    </row>
    <row r="4" spans="1:7" x14ac:dyDescent="0.3">
      <c r="A4" t="s">
        <v>1</v>
      </c>
      <c r="B4" t="s">
        <v>2</v>
      </c>
      <c r="C4" t="s">
        <v>47</v>
      </c>
      <c r="D4">
        <v>20</v>
      </c>
      <c r="E4" t="s">
        <v>175</v>
      </c>
      <c r="F4" s="11">
        <v>0</v>
      </c>
      <c r="G4" s="11">
        <f t="shared" si="0"/>
        <v>0</v>
      </c>
    </row>
    <row r="5" spans="1:7" x14ac:dyDescent="0.3">
      <c r="A5" t="s">
        <v>1</v>
      </c>
      <c r="B5" t="s">
        <v>2</v>
      </c>
      <c r="C5" t="s">
        <v>47</v>
      </c>
      <c r="D5">
        <v>20</v>
      </c>
      <c r="E5" t="s">
        <v>55</v>
      </c>
      <c r="F5" s="11">
        <v>0</v>
      </c>
      <c r="G5" s="11">
        <f t="shared" si="0"/>
        <v>0</v>
      </c>
    </row>
    <row r="6" spans="1:7" x14ac:dyDescent="0.3">
      <c r="A6" t="s">
        <v>1</v>
      </c>
      <c r="B6" t="s">
        <v>3</v>
      </c>
      <c r="C6" t="s">
        <v>47</v>
      </c>
      <c r="D6">
        <v>30</v>
      </c>
      <c r="E6" t="s">
        <v>173</v>
      </c>
      <c r="F6" s="11">
        <v>18</v>
      </c>
      <c r="G6" s="11">
        <f t="shared" si="0"/>
        <v>60</v>
      </c>
    </row>
    <row r="7" spans="1:7" x14ac:dyDescent="0.3">
      <c r="A7" t="s">
        <v>1</v>
      </c>
      <c r="B7" t="s">
        <v>3</v>
      </c>
      <c r="C7" t="s">
        <v>47</v>
      </c>
      <c r="D7">
        <v>30</v>
      </c>
      <c r="E7" t="s">
        <v>174</v>
      </c>
      <c r="F7" s="11">
        <v>3</v>
      </c>
      <c r="G7" s="11">
        <f t="shared" si="0"/>
        <v>10</v>
      </c>
    </row>
    <row r="8" spans="1:7" x14ac:dyDescent="0.3">
      <c r="A8" t="s">
        <v>1</v>
      </c>
      <c r="B8" t="s">
        <v>3</v>
      </c>
      <c r="C8" t="s">
        <v>47</v>
      </c>
      <c r="D8">
        <v>30</v>
      </c>
      <c r="E8" t="s">
        <v>175</v>
      </c>
      <c r="F8" s="11">
        <v>8.1000000000000014</v>
      </c>
      <c r="G8" s="11">
        <f t="shared" si="0"/>
        <v>27.000000000000007</v>
      </c>
    </row>
    <row r="9" spans="1:7" x14ac:dyDescent="0.3">
      <c r="A9" t="s">
        <v>1</v>
      </c>
      <c r="B9" t="s">
        <v>3</v>
      </c>
      <c r="C9" t="s">
        <v>47</v>
      </c>
      <c r="D9">
        <v>30</v>
      </c>
      <c r="E9" t="s">
        <v>55</v>
      </c>
      <c r="F9" s="11">
        <v>0.89999999999999991</v>
      </c>
      <c r="G9" s="11">
        <f t="shared" si="0"/>
        <v>2.9999999999999996</v>
      </c>
    </row>
    <row r="10" spans="1:7" x14ac:dyDescent="0.3">
      <c r="A10" s="3" t="s">
        <v>132</v>
      </c>
      <c r="B10" t="s">
        <v>2</v>
      </c>
      <c r="C10" t="s">
        <v>48</v>
      </c>
      <c r="D10" s="3">
        <v>326</v>
      </c>
      <c r="E10" t="s">
        <v>176</v>
      </c>
      <c r="F10" s="26">
        <v>110</v>
      </c>
      <c r="G10" s="11">
        <f t="shared" si="0"/>
        <v>33.742331288343557</v>
      </c>
    </row>
    <row r="11" spans="1:7" x14ac:dyDescent="0.3">
      <c r="A11" s="3" t="s">
        <v>132</v>
      </c>
      <c r="B11" t="s">
        <v>2</v>
      </c>
      <c r="C11" t="s">
        <v>48</v>
      </c>
      <c r="D11" s="3">
        <v>326</v>
      </c>
      <c r="E11" t="s">
        <v>174</v>
      </c>
      <c r="F11" s="26">
        <v>121</v>
      </c>
      <c r="G11" s="11">
        <f t="shared" si="0"/>
        <v>37.116564417177919</v>
      </c>
    </row>
    <row r="12" spans="1:7" x14ac:dyDescent="0.3">
      <c r="A12" s="3" t="s">
        <v>132</v>
      </c>
      <c r="B12" t="s">
        <v>2</v>
      </c>
      <c r="C12" t="s">
        <v>48</v>
      </c>
      <c r="D12" s="3">
        <v>326</v>
      </c>
      <c r="E12" t="s">
        <v>177</v>
      </c>
      <c r="F12" s="26">
        <v>30</v>
      </c>
      <c r="G12" s="11">
        <f t="shared" si="0"/>
        <v>9.2024539877300615</v>
      </c>
    </row>
    <row r="13" spans="1:7" x14ac:dyDescent="0.3">
      <c r="A13" s="3" t="s">
        <v>138</v>
      </c>
      <c r="B13" s="3" t="s">
        <v>2</v>
      </c>
      <c r="C13" s="3" t="s">
        <v>48</v>
      </c>
      <c r="D13" s="3">
        <v>43</v>
      </c>
      <c r="E13" t="s">
        <v>173</v>
      </c>
      <c r="F13">
        <v>24</v>
      </c>
      <c r="G13" s="11">
        <f t="shared" si="0"/>
        <v>55.813953488372093</v>
      </c>
    </row>
    <row r="14" spans="1:7" x14ac:dyDescent="0.3">
      <c r="A14" s="3" t="s">
        <v>138</v>
      </c>
      <c r="B14" s="3" t="s">
        <v>2</v>
      </c>
      <c r="C14" s="3" t="s">
        <v>48</v>
      </c>
      <c r="D14" s="3">
        <v>43</v>
      </c>
      <c r="E14" t="s">
        <v>174</v>
      </c>
      <c r="F14">
        <v>19</v>
      </c>
      <c r="G14" s="11">
        <f t="shared" si="0"/>
        <v>44.186046511627907</v>
      </c>
    </row>
    <row r="15" spans="1:7" x14ac:dyDescent="0.3">
      <c r="A15" t="s">
        <v>5</v>
      </c>
      <c r="B15" t="s">
        <v>2</v>
      </c>
      <c r="C15" t="s">
        <v>48</v>
      </c>
      <c r="D15" s="3">
        <v>215</v>
      </c>
      <c r="E15" t="s">
        <v>178</v>
      </c>
      <c r="F15" s="24">
        <v>76</v>
      </c>
      <c r="G15" s="11">
        <f t="shared" si="0"/>
        <v>35.348837209302324</v>
      </c>
    </row>
    <row r="16" spans="1:7" x14ac:dyDescent="0.3">
      <c r="A16" t="s">
        <v>5</v>
      </c>
      <c r="B16" t="s">
        <v>2</v>
      </c>
      <c r="C16" t="s">
        <v>48</v>
      </c>
      <c r="D16" s="3">
        <v>215</v>
      </c>
      <c r="E16" t="s">
        <v>174</v>
      </c>
      <c r="F16" s="24">
        <v>58</v>
      </c>
      <c r="G16" s="11">
        <f t="shared" si="0"/>
        <v>26.976744186046513</v>
      </c>
    </row>
    <row r="17" spans="1:7" x14ac:dyDescent="0.3">
      <c r="A17" s="3" t="s">
        <v>12</v>
      </c>
      <c r="B17" s="3" t="s">
        <v>2</v>
      </c>
      <c r="C17" s="3" t="s">
        <v>48</v>
      </c>
      <c r="D17" s="3">
        <v>241</v>
      </c>
      <c r="E17" t="s">
        <v>178</v>
      </c>
      <c r="F17" s="24">
        <v>124</v>
      </c>
      <c r="G17" s="11">
        <f t="shared" si="0"/>
        <v>51.452282157676343</v>
      </c>
    </row>
    <row r="18" spans="1:7" x14ac:dyDescent="0.3">
      <c r="A18" s="3" t="s">
        <v>12</v>
      </c>
      <c r="B18" s="3" t="s">
        <v>2</v>
      </c>
      <c r="C18" s="3" t="s">
        <v>48</v>
      </c>
      <c r="D18" s="3">
        <v>241</v>
      </c>
      <c r="E18" t="s">
        <v>174</v>
      </c>
      <c r="F18" s="24">
        <v>86</v>
      </c>
      <c r="G18" s="11">
        <f t="shared" si="0"/>
        <v>35.684647302904565</v>
      </c>
    </row>
    <row r="19" spans="1:7" x14ac:dyDescent="0.3">
      <c r="A19" s="3" t="s">
        <v>13</v>
      </c>
      <c r="B19" s="3" t="s">
        <v>2</v>
      </c>
      <c r="C19" s="3" t="s">
        <v>48</v>
      </c>
      <c r="D19" s="5">
        <v>111</v>
      </c>
      <c r="E19" t="s">
        <v>178</v>
      </c>
      <c r="F19" s="27">
        <v>53</v>
      </c>
      <c r="G19" s="11">
        <f t="shared" si="0"/>
        <v>47.747747747747752</v>
      </c>
    </row>
    <row r="20" spans="1:7" x14ac:dyDescent="0.3">
      <c r="A20" s="3" t="s">
        <v>13</v>
      </c>
      <c r="B20" s="3" t="s">
        <v>2</v>
      </c>
      <c r="C20" s="3" t="s">
        <v>48</v>
      </c>
      <c r="D20" s="5">
        <v>111</v>
      </c>
      <c r="E20" t="s">
        <v>174</v>
      </c>
      <c r="F20" s="28">
        <v>58</v>
      </c>
      <c r="G20" s="11">
        <f t="shared" si="0"/>
        <v>52.252252252252248</v>
      </c>
    </row>
    <row r="21" spans="1:7" x14ac:dyDescent="0.3">
      <c r="A21" s="3" t="s">
        <v>148</v>
      </c>
      <c r="B21" s="3" t="s">
        <v>2</v>
      </c>
      <c r="C21" s="3" t="s">
        <v>48</v>
      </c>
      <c r="D21" s="3">
        <v>30</v>
      </c>
      <c r="E21" t="s">
        <v>178</v>
      </c>
      <c r="F21" s="24">
        <v>14</v>
      </c>
      <c r="G21" s="11">
        <f t="shared" si="0"/>
        <v>46.666666666666664</v>
      </c>
    </row>
    <row r="22" spans="1:7" x14ac:dyDescent="0.3">
      <c r="A22" s="3" t="s">
        <v>148</v>
      </c>
      <c r="B22" s="3" t="s">
        <v>2</v>
      </c>
      <c r="C22" s="3" t="s">
        <v>48</v>
      </c>
      <c r="D22" s="3">
        <v>30</v>
      </c>
      <c r="E22" t="s">
        <v>174</v>
      </c>
      <c r="F22" s="24">
        <v>16</v>
      </c>
      <c r="G22" s="11">
        <f t="shared" si="0"/>
        <v>53.333333333333336</v>
      </c>
    </row>
    <row r="23" spans="1:7" x14ac:dyDescent="0.3">
      <c r="A23" s="3" t="s">
        <v>19</v>
      </c>
      <c r="B23" s="3" t="s">
        <v>2</v>
      </c>
      <c r="C23" s="3" t="s">
        <v>48</v>
      </c>
      <c r="D23" s="3">
        <v>74</v>
      </c>
      <c r="E23" t="s">
        <v>176</v>
      </c>
      <c r="F23" s="24">
        <v>37</v>
      </c>
      <c r="G23" s="11">
        <f t="shared" si="0"/>
        <v>50</v>
      </c>
    </row>
    <row r="24" spans="1:7" x14ac:dyDescent="0.3">
      <c r="A24" s="3" t="s">
        <v>19</v>
      </c>
      <c r="B24" s="3" t="s">
        <v>2</v>
      </c>
      <c r="C24" s="3" t="s">
        <v>48</v>
      </c>
      <c r="D24" s="3">
        <v>74</v>
      </c>
      <c r="E24" t="s">
        <v>174</v>
      </c>
      <c r="F24" s="24">
        <v>37</v>
      </c>
      <c r="G24" s="11">
        <f t="shared" si="0"/>
        <v>50</v>
      </c>
    </row>
    <row r="25" spans="1:7" x14ac:dyDescent="0.3">
      <c r="A25" t="s">
        <v>155</v>
      </c>
      <c r="B25" t="s">
        <v>179</v>
      </c>
      <c r="C25" t="s">
        <v>48</v>
      </c>
      <c r="D25" s="3">
        <v>65</v>
      </c>
      <c r="E25" t="s">
        <v>176</v>
      </c>
      <c r="F25" s="24">
        <v>37</v>
      </c>
      <c r="G25" s="11">
        <f t="shared" si="0"/>
        <v>56.92307692307692</v>
      </c>
    </row>
    <row r="26" spans="1:7" x14ac:dyDescent="0.3">
      <c r="A26" t="s">
        <v>155</v>
      </c>
      <c r="B26" t="s">
        <v>179</v>
      </c>
      <c r="C26" t="s">
        <v>48</v>
      </c>
      <c r="D26" s="3">
        <v>65</v>
      </c>
      <c r="E26" t="s">
        <v>174</v>
      </c>
      <c r="F26" s="24">
        <v>9</v>
      </c>
      <c r="G26" s="11">
        <f t="shared" si="0"/>
        <v>13.846153846153847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B384-4D17-4E06-B8A4-F9F12031D9F2}">
  <dimension ref="A1:F15"/>
  <sheetViews>
    <sheetView tabSelected="1" workbookViewId="0">
      <selection activeCell="H19" sqref="H19"/>
    </sheetView>
  </sheetViews>
  <sheetFormatPr defaultRowHeight="14.4" x14ac:dyDescent="0.3"/>
  <cols>
    <col min="1" max="5" width="21.21875" customWidth="1"/>
  </cols>
  <sheetData>
    <row r="1" spans="1:6" x14ac:dyDescent="0.3">
      <c r="A1" s="31" t="s">
        <v>0</v>
      </c>
      <c r="B1" s="31" t="s">
        <v>50</v>
      </c>
      <c r="C1" s="31" t="s">
        <v>46</v>
      </c>
      <c r="D1" s="32" t="s">
        <v>51</v>
      </c>
      <c r="E1" s="31" t="s">
        <v>214</v>
      </c>
      <c r="F1" s="31" t="s">
        <v>216</v>
      </c>
    </row>
    <row r="2" spans="1:6" x14ac:dyDescent="0.3">
      <c r="A2" s="33" t="s">
        <v>1</v>
      </c>
      <c r="B2" s="33" t="s">
        <v>2</v>
      </c>
      <c r="C2" s="33" t="s">
        <v>47</v>
      </c>
      <c r="D2" s="33">
        <v>20</v>
      </c>
      <c r="E2" s="34">
        <v>15</v>
      </c>
      <c r="F2" s="35">
        <f>E2/D2*100</f>
        <v>75</v>
      </c>
    </row>
    <row r="3" spans="1:6" x14ac:dyDescent="0.3">
      <c r="A3" s="33" t="s">
        <v>1</v>
      </c>
      <c r="B3" s="33" t="s">
        <v>3</v>
      </c>
      <c r="C3" s="33" t="s">
        <v>47</v>
      </c>
      <c r="D3" s="33">
        <v>30</v>
      </c>
      <c r="E3" s="34">
        <v>17</v>
      </c>
      <c r="F3" s="35">
        <f>E3/D3*100</f>
        <v>56.666666666666664</v>
      </c>
    </row>
    <row r="4" spans="1:6" x14ac:dyDescent="0.3">
      <c r="A4" s="36" t="s">
        <v>138</v>
      </c>
      <c r="B4" s="36" t="s">
        <v>2</v>
      </c>
      <c r="C4" s="36" t="s">
        <v>48</v>
      </c>
      <c r="D4" s="36">
        <v>43</v>
      </c>
      <c r="E4" s="33">
        <v>39</v>
      </c>
      <c r="F4" s="35">
        <f t="shared" ref="F4:F14" si="0">E4/D4*100</f>
        <v>90.697674418604649</v>
      </c>
    </row>
    <row r="5" spans="1:6" x14ac:dyDescent="0.3">
      <c r="A5" s="36" t="s">
        <v>20</v>
      </c>
      <c r="B5" s="36" t="s">
        <v>183</v>
      </c>
      <c r="C5" s="36" t="s">
        <v>48</v>
      </c>
      <c r="D5" s="36">
        <v>27</v>
      </c>
      <c r="E5" s="33">
        <v>14</v>
      </c>
      <c r="F5" s="35">
        <f t="shared" si="0"/>
        <v>51.851851851851848</v>
      </c>
    </row>
    <row r="6" spans="1:6" x14ac:dyDescent="0.3">
      <c r="A6" s="33" t="s">
        <v>4</v>
      </c>
      <c r="B6" s="33" t="s">
        <v>2</v>
      </c>
      <c r="C6" s="36" t="s">
        <v>48</v>
      </c>
      <c r="D6" s="33">
        <v>619</v>
      </c>
      <c r="E6" s="34">
        <v>110</v>
      </c>
      <c r="F6" s="35">
        <f t="shared" si="0"/>
        <v>17.77059773828756</v>
      </c>
    </row>
    <row r="7" spans="1:6" x14ac:dyDescent="0.3">
      <c r="A7" s="33" t="s">
        <v>215</v>
      </c>
      <c r="B7" s="33" t="s">
        <v>2</v>
      </c>
      <c r="C7" s="36" t="s">
        <v>48</v>
      </c>
      <c r="D7" s="34">
        <v>27</v>
      </c>
      <c r="E7" s="34">
        <v>22</v>
      </c>
      <c r="F7" s="35">
        <f t="shared" si="0"/>
        <v>81.481481481481481</v>
      </c>
    </row>
    <row r="8" spans="1:6" x14ac:dyDescent="0.3">
      <c r="A8" s="33" t="s">
        <v>6</v>
      </c>
      <c r="B8" s="33" t="s">
        <v>7</v>
      </c>
      <c r="C8" s="36" t="s">
        <v>48</v>
      </c>
      <c r="D8" s="36">
        <v>66</v>
      </c>
      <c r="E8" s="34">
        <v>45</v>
      </c>
      <c r="F8" s="35">
        <f t="shared" si="0"/>
        <v>68.181818181818173</v>
      </c>
    </row>
    <row r="9" spans="1:6" x14ac:dyDescent="0.3">
      <c r="A9" s="36" t="s">
        <v>14</v>
      </c>
      <c r="B9" s="36" t="s">
        <v>15</v>
      </c>
      <c r="C9" s="36" t="s">
        <v>48</v>
      </c>
      <c r="D9" s="36">
        <v>35</v>
      </c>
      <c r="E9" s="34">
        <v>23</v>
      </c>
      <c r="F9" s="35">
        <f t="shared" si="0"/>
        <v>65.714285714285708</v>
      </c>
    </row>
    <row r="10" spans="1:6" x14ac:dyDescent="0.3">
      <c r="A10" s="36" t="s">
        <v>9</v>
      </c>
      <c r="B10" s="33" t="s">
        <v>10</v>
      </c>
      <c r="C10" s="36" t="s">
        <v>48</v>
      </c>
      <c r="D10" s="34">
        <v>393</v>
      </c>
      <c r="E10" s="34">
        <v>354</v>
      </c>
      <c r="F10" s="35">
        <f t="shared" si="0"/>
        <v>90.07633587786259</v>
      </c>
    </row>
    <row r="11" spans="1:6" x14ac:dyDescent="0.3">
      <c r="A11" s="36" t="s">
        <v>11</v>
      </c>
      <c r="B11" s="33" t="s">
        <v>10</v>
      </c>
      <c r="C11" s="36" t="s">
        <v>48</v>
      </c>
      <c r="D11" s="36">
        <v>203</v>
      </c>
      <c r="E11" s="34">
        <v>187</v>
      </c>
      <c r="F11" s="35">
        <f t="shared" si="0"/>
        <v>92.118226600985224</v>
      </c>
    </row>
    <row r="12" spans="1:6" x14ac:dyDescent="0.3">
      <c r="A12" s="36" t="s">
        <v>182</v>
      </c>
      <c r="B12" s="36" t="s">
        <v>183</v>
      </c>
      <c r="C12" s="36" t="s">
        <v>48</v>
      </c>
      <c r="D12" s="36">
        <v>32</v>
      </c>
      <c r="E12" s="34">
        <v>21</v>
      </c>
      <c r="F12" s="35">
        <f t="shared" si="0"/>
        <v>65.625</v>
      </c>
    </row>
    <row r="13" spans="1:6" x14ac:dyDescent="0.3">
      <c r="A13" s="36" t="s">
        <v>186</v>
      </c>
      <c r="B13" s="36" t="s">
        <v>187</v>
      </c>
      <c r="C13" s="36" t="s">
        <v>48</v>
      </c>
      <c r="D13" s="36">
        <v>85</v>
      </c>
      <c r="E13" s="34">
        <v>21</v>
      </c>
      <c r="F13" s="35">
        <f t="shared" si="0"/>
        <v>24.705882352941178</v>
      </c>
    </row>
    <row r="14" spans="1:6" x14ac:dyDescent="0.3">
      <c r="A14" s="36" t="s">
        <v>184</v>
      </c>
      <c r="B14" s="36" t="s">
        <v>185</v>
      </c>
      <c r="C14" s="36" t="s">
        <v>48</v>
      </c>
      <c r="D14" s="36">
        <v>162</v>
      </c>
      <c r="E14" s="34">
        <v>102</v>
      </c>
      <c r="F14" s="35">
        <f t="shared" si="0"/>
        <v>62.962962962962962</v>
      </c>
    </row>
    <row r="15" spans="1:6" x14ac:dyDescent="0.3">
      <c r="A15" s="33"/>
      <c r="B15" s="33"/>
      <c r="C15" s="33"/>
      <c r="D15" s="33"/>
      <c r="E15" s="33"/>
      <c r="F1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Injury Location</vt:lpstr>
      <vt:lpstr>Injury Type</vt:lpstr>
      <vt:lpstr>Severity Time Bins</vt:lpstr>
      <vt:lpstr>Injury Onset</vt:lpstr>
      <vt:lpstr>Injury Mechanism</vt:lpstr>
      <vt:lpstr>Injury Prevelance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Beech, Jake</dc:creator>
  <cp:lastModifiedBy>Beech, Jake</cp:lastModifiedBy>
  <dcterms:created xsi:type="dcterms:W3CDTF">2022-11-16T10:38:04Z</dcterms:created>
  <dcterms:modified xsi:type="dcterms:W3CDTF">2023-03-22T18:05:31Z</dcterms:modified>
</cp:coreProperties>
</file>